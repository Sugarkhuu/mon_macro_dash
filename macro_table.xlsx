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onomics\GIT\monmacro\"/>
    </mc:Choice>
  </mc:AlternateContent>
  <xr:revisionPtr revIDLastSave="0" documentId="13_ncr:1_{C706EF80-0A51-477B-8FD2-A1C1780B2D3A}" xr6:coauthVersionLast="46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 (2)" sheetId="4" r:id="rId1"/>
    <sheet name="table" sheetId="3" r:id="rId2"/>
    <sheet name="m" sheetId="1" r:id="rId3"/>
    <sheet name="q" sheetId="2" r:id="rId4"/>
  </sheets>
  <definedNames>
    <definedName name="_xlnm.Print_Area" localSheetId="1">table!$A$1:$J$60</definedName>
    <definedName name="_xlnm.Print_Area" localSheetId="0">'table (2)'!$A$1:$J$60</definedName>
  </definedNames>
  <calcPr calcId="181029"/>
</workbook>
</file>

<file path=xl/calcChain.xml><?xml version="1.0" encoding="utf-8"?>
<calcChain xmlns="http://schemas.openxmlformats.org/spreadsheetml/2006/main">
  <c r="N45" i="3" l="1"/>
  <c r="E45" i="3" s="1"/>
  <c r="O45" i="3"/>
  <c r="P45" i="3"/>
  <c r="G45" i="3" s="1"/>
  <c r="Q45" i="3"/>
  <c r="R45" i="3"/>
  <c r="S45" i="3"/>
  <c r="N46" i="3"/>
  <c r="E46" i="3" s="1"/>
  <c r="O46" i="3"/>
  <c r="F46" i="3" s="1"/>
  <c r="P46" i="3"/>
  <c r="Q46" i="3"/>
  <c r="R46" i="3"/>
  <c r="I46" i="3" s="1"/>
  <c r="S46" i="3"/>
  <c r="N47" i="3"/>
  <c r="O47" i="3"/>
  <c r="P47" i="3"/>
  <c r="Q47" i="3"/>
  <c r="H47" i="3" s="1"/>
  <c r="R47" i="3"/>
  <c r="I47" i="3" s="1"/>
  <c r="S47" i="3"/>
  <c r="N48" i="3"/>
  <c r="E48" i="3" s="1"/>
  <c r="O48" i="3"/>
  <c r="P48" i="3"/>
  <c r="Q48" i="3"/>
  <c r="R48" i="3"/>
  <c r="I48" i="3" s="1"/>
  <c r="S48" i="3"/>
  <c r="J48" i="3" s="1"/>
  <c r="N49" i="3"/>
  <c r="O49" i="3"/>
  <c r="P49" i="3"/>
  <c r="Q49" i="3"/>
  <c r="R49" i="3"/>
  <c r="S49" i="3"/>
  <c r="N50" i="3"/>
  <c r="O50" i="3"/>
  <c r="P50" i="3"/>
  <c r="Q50" i="3"/>
  <c r="R50" i="3"/>
  <c r="S50" i="3"/>
  <c r="N51" i="3"/>
  <c r="O51" i="3"/>
  <c r="P51" i="3"/>
  <c r="Q51" i="3"/>
  <c r="H51" i="3" s="1"/>
  <c r="R51" i="3"/>
  <c r="I51" i="3" s="1"/>
  <c r="S51" i="3"/>
  <c r="N52" i="3"/>
  <c r="E52" i="3" s="1"/>
  <c r="O52" i="3"/>
  <c r="P52" i="3"/>
  <c r="Q52" i="3"/>
  <c r="R52" i="3"/>
  <c r="I52" i="3" s="1"/>
  <c r="S52" i="3"/>
  <c r="J52" i="3" s="1"/>
  <c r="N53" i="3"/>
  <c r="E53" i="3" s="1"/>
  <c r="O53" i="3"/>
  <c r="P53" i="3"/>
  <c r="G53" i="3" s="1"/>
  <c r="Q53" i="3"/>
  <c r="R53" i="3"/>
  <c r="S53" i="3"/>
  <c r="N54" i="3"/>
  <c r="E54" i="3" s="1"/>
  <c r="O54" i="3"/>
  <c r="F54" i="3" s="1"/>
  <c r="P54" i="3"/>
  <c r="G54" i="3" s="1"/>
  <c r="Q54" i="3"/>
  <c r="R54" i="3"/>
  <c r="I54" i="3" s="1"/>
  <c r="S54" i="3"/>
  <c r="M46" i="3"/>
  <c r="M47" i="3"/>
  <c r="M48" i="3"/>
  <c r="D48" i="3" s="1"/>
  <c r="M49" i="3"/>
  <c r="D49" i="3" s="1"/>
  <c r="M50" i="3"/>
  <c r="M51" i="3"/>
  <c r="M52" i="3"/>
  <c r="D52" i="3" s="1"/>
  <c r="M53" i="3"/>
  <c r="D53" i="3" s="1"/>
  <c r="M54" i="3"/>
  <c r="M45" i="3"/>
  <c r="N37" i="3"/>
  <c r="E37" i="3" s="1"/>
  <c r="O37" i="3"/>
  <c r="F37" i="3" s="1"/>
  <c r="P37" i="3"/>
  <c r="G37" i="3" s="1"/>
  <c r="Q37" i="3"/>
  <c r="R37" i="3"/>
  <c r="I37" i="3" s="1"/>
  <c r="S37" i="3"/>
  <c r="N38" i="3"/>
  <c r="O38" i="3"/>
  <c r="P38" i="3"/>
  <c r="G38" i="3" s="1"/>
  <c r="Q38" i="3"/>
  <c r="H38" i="3" s="1"/>
  <c r="R38" i="3"/>
  <c r="S38" i="3"/>
  <c r="N39" i="3"/>
  <c r="E39" i="3" s="1"/>
  <c r="O39" i="3"/>
  <c r="P39" i="3"/>
  <c r="Q39" i="3"/>
  <c r="H39" i="3" s="1"/>
  <c r="R39" i="3"/>
  <c r="I39" i="3" s="1"/>
  <c r="S39" i="3"/>
  <c r="N40" i="3"/>
  <c r="O40" i="3"/>
  <c r="P40" i="3"/>
  <c r="Q40" i="3"/>
  <c r="R40" i="3"/>
  <c r="S40" i="3"/>
  <c r="J40" i="3" s="1"/>
  <c r="N41" i="3"/>
  <c r="E41" i="3" s="1"/>
  <c r="O41" i="3"/>
  <c r="P41" i="3"/>
  <c r="G41" i="3" s="1"/>
  <c r="Q41" i="3"/>
  <c r="R41" i="3"/>
  <c r="I41" i="3" s="1"/>
  <c r="S41" i="3"/>
  <c r="N42" i="3"/>
  <c r="O42" i="3"/>
  <c r="F42" i="3" s="1"/>
  <c r="P42" i="3"/>
  <c r="G42" i="3" s="1"/>
  <c r="Q42" i="3"/>
  <c r="H42" i="3" s="1"/>
  <c r="R42" i="3"/>
  <c r="I42" i="3" s="1"/>
  <c r="S42" i="3"/>
  <c r="M38" i="3"/>
  <c r="D38" i="3" s="1"/>
  <c r="M39" i="3"/>
  <c r="M40" i="3"/>
  <c r="M41" i="3"/>
  <c r="M42" i="3"/>
  <c r="D42" i="3" s="1"/>
  <c r="M37" i="3"/>
  <c r="D37" i="3" s="1"/>
  <c r="M7" i="3"/>
  <c r="N7" i="3"/>
  <c r="O7" i="3"/>
  <c r="P7" i="3"/>
  <c r="Q7" i="3"/>
  <c r="R7" i="3"/>
  <c r="I7" i="3" s="1"/>
  <c r="S7" i="3"/>
  <c r="J7" i="3" s="1"/>
  <c r="M8" i="3"/>
  <c r="N8" i="3"/>
  <c r="O8" i="3"/>
  <c r="P8" i="3"/>
  <c r="Q8" i="3"/>
  <c r="R8" i="3"/>
  <c r="S8" i="3"/>
  <c r="J8" i="3" s="1"/>
  <c r="M9" i="3"/>
  <c r="D9" i="3" s="1"/>
  <c r="D63" i="3" s="1"/>
  <c r="N9" i="3"/>
  <c r="E9" i="3" s="1"/>
  <c r="E63" i="3" s="1"/>
  <c r="O9" i="3"/>
  <c r="F9" i="3" s="1"/>
  <c r="F63" i="3" s="1"/>
  <c r="P9" i="3"/>
  <c r="Q9" i="3"/>
  <c r="H9" i="3" s="1"/>
  <c r="R9" i="3"/>
  <c r="S9" i="3"/>
  <c r="M10" i="3"/>
  <c r="D10" i="3" s="1"/>
  <c r="N10" i="3"/>
  <c r="E10" i="3" s="1"/>
  <c r="O10" i="3"/>
  <c r="F10" i="3" s="1"/>
  <c r="P10" i="3"/>
  <c r="G10" i="3" s="1"/>
  <c r="Q10" i="3"/>
  <c r="R10" i="3"/>
  <c r="I10" i="3" s="1"/>
  <c r="S10" i="3"/>
  <c r="M11" i="3"/>
  <c r="N11" i="3"/>
  <c r="O11" i="3"/>
  <c r="P11" i="3"/>
  <c r="Q11" i="3"/>
  <c r="R11" i="3"/>
  <c r="S11" i="3"/>
  <c r="J11" i="3" s="1"/>
  <c r="M12" i="3"/>
  <c r="N12" i="3"/>
  <c r="O12" i="3"/>
  <c r="P12" i="3"/>
  <c r="Q12" i="3"/>
  <c r="H12" i="3" s="1"/>
  <c r="R12" i="3"/>
  <c r="S12" i="3"/>
  <c r="M13" i="3"/>
  <c r="D13" i="3" s="1"/>
  <c r="N13" i="3"/>
  <c r="O13" i="3"/>
  <c r="P13" i="3"/>
  <c r="G13" i="3" s="1"/>
  <c r="Q13" i="3"/>
  <c r="H13" i="3" s="1"/>
  <c r="R13" i="3"/>
  <c r="I13" i="3" s="1"/>
  <c r="S13" i="3"/>
  <c r="M14" i="3"/>
  <c r="N14" i="3"/>
  <c r="E14" i="3" s="1"/>
  <c r="O14" i="3"/>
  <c r="P14" i="3"/>
  <c r="Q14" i="3"/>
  <c r="H14" i="3" s="1"/>
  <c r="R14" i="3"/>
  <c r="I14" i="3" s="1"/>
  <c r="S14" i="3"/>
  <c r="J14" i="3" s="1"/>
  <c r="M15" i="3"/>
  <c r="N15" i="3"/>
  <c r="O15" i="3"/>
  <c r="P15" i="3"/>
  <c r="Q15" i="3"/>
  <c r="R15" i="3"/>
  <c r="I15" i="3" s="1"/>
  <c r="S15" i="3"/>
  <c r="J15" i="3" s="1"/>
  <c r="M16" i="3"/>
  <c r="N16" i="3"/>
  <c r="O16" i="3"/>
  <c r="P16" i="3"/>
  <c r="Q16" i="3"/>
  <c r="R16" i="3"/>
  <c r="S16" i="3"/>
  <c r="J16" i="3" s="1"/>
  <c r="M17" i="3"/>
  <c r="D17" i="3" s="1"/>
  <c r="N17" i="3"/>
  <c r="E17" i="3" s="1"/>
  <c r="O17" i="3"/>
  <c r="F17" i="3" s="1"/>
  <c r="P17" i="3"/>
  <c r="Q17" i="3"/>
  <c r="H17" i="3" s="1"/>
  <c r="R17" i="3"/>
  <c r="S17" i="3"/>
  <c r="M18" i="3"/>
  <c r="D18" i="3" s="1"/>
  <c r="N18" i="3"/>
  <c r="E18" i="3" s="1"/>
  <c r="O18" i="3"/>
  <c r="F18" i="3" s="1"/>
  <c r="P18" i="3"/>
  <c r="G18" i="3" s="1"/>
  <c r="Q18" i="3"/>
  <c r="R18" i="3"/>
  <c r="I18" i="3" s="1"/>
  <c r="S18" i="3"/>
  <c r="M19" i="3"/>
  <c r="N19" i="3"/>
  <c r="E19" i="3" s="1"/>
  <c r="O19" i="3"/>
  <c r="P19" i="3"/>
  <c r="G19" i="3" s="1"/>
  <c r="Q19" i="3"/>
  <c r="H19" i="3" s="1"/>
  <c r="R19" i="3"/>
  <c r="S19" i="3"/>
  <c r="J19" i="3" s="1"/>
  <c r="M20" i="3"/>
  <c r="N20" i="3"/>
  <c r="O20" i="3"/>
  <c r="P20" i="3"/>
  <c r="G20" i="3" s="1"/>
  <c r="Q20" i="3"/>
  <c r="H20" i="3" s="1"/>
  <c r="R20" i="3"/>
  <c r="I20" i="3" s="1"/>
  <c r="S20" i="3"/>
  <c r="M21" i="3"/>
  <c r="N21" i="3"/>
  <c r="O21" i="3"/>
  <c r="P21" i="3"/>
  <c r="Q21" i="3"/>
  <c r="R21" i="3"/>
  <c r="I21" i="3" s="1"/>
  <c r="S21" i="3"/>
  <c r="J21" i="3" s="1"/>
  <c r="M22" i="3"/>
  <c r="N22" i="3"/>
  <c r="O22" i="3"/>
  <c r="P22" i="3"/>
  <c r="Q22" i="3"/>
  <c r="R22" i="3"/>
  <c r="S22" i="3"/>
  <c r="M23" i="3"/>
  <c r="D23" i="3" s="1"/>
  <c r="N23" i="3"/>
  <c r="O23" i="3"/>
  <c r="F23" i="3" s="1"/>
  <c r="P23" i="3"/>
  <c r="G23" i="3" s="1"/>
  <c r="Q23" i="3"/>
  <c r="R23" i="3"/>
  <c r="S23" i="3"/>
  <c r="M24" i="3"/>
  <c r="D24" i="3" s="1"/>
  <c r="N24" i="3"/>
  <c r="E24" i="3" s="1"/>
  <c r="O24" i="3"/>
  <c r="P24" i="3"/>
  <c r="G24" i="3" s="1"/>
  <c r="Q24" i="3"/>
  <c r="H24" i="3" s="1"/>
  <c r="R24" i="3"/>
  <c r="S24" i="3"/>
  <c r="M25" i="3"/>
  <c r="N25" i="3"/>
  <c r="O25" i="3"/>
  <c r="P25" i="3"/>
  <c r="Q25" i="3"/>
  <c r="H25" i="3" s="1"/>
  <c r="R25" i="3"/>
  <c r="I25" i="3" s="1"/>
  <c r="S25" i="3"/>
  <c r="J25" i="3" s="1"/>
  <c r="M26" i="3"/>
  <c r="D26" i="3" s="1"/>
  <c r="D27" i="3" s="1"/>
  <c r="N26" i="3"/>
  <c r="E26" i="3" s="1"/>
  <c r="E27" i="3" s="1"/>
  <c r="O26" i="3"/>
  <c r="F26" i="3" s="1"/>
  <c r="F27" i="3" s="1"/>
  <c r="P26" i="3"/>
  <c r="G26" i="3" s="1"/>
  <c r="G27" i="3" s="1"/>
  <c r="Q26" i="3"/>
  <c r="H26" i="3" s="1"/>
  <c r="R26" i="3"/>
  <c r="I26" i="3" s="1"/>
  <c r="S26" i="3"/>
  <c r="J26" i="3" s="1"/>
  <c r="M27" i="3"/>
  <c r="N27" i="3"/>
  <c r="O27" i="3"/>
  <c r="P27" i="3"/>
  <c r="Q27" i="3"/>
  <c r="R27" i="3"/>
  <c r="S27" i="3"/>
  <c r="M28" i="3"/>
  <c r="D28" i="3" s="1"/>
  <c r="N28" i="3"/>
  <c r="O28" i="3"/>
  <c r="F28" i="3" s="1"/>
  <c r="P28" i="3"/>
  <c r="Q28" i="3"/>
  <c r="H28" i="3" s="1"/>
  <c r="R28" i="3"/>
  <c r="I28" i="3" s="1"/>
  <c r="S28" i="3"/>
  <c r="J28" i="3" s="1"/>
  <c r="M29" i="3"/>
  <c r="N29" i="3"/>
  <c r="O29" i="3"/>
  <c r="P29" i="3"/>
  <c r="Q29" i="3"/>
  <c r="H29" i="3" s="1"/>
  <c r="R29" i="3"/>
  <c r="I29" i="3" s="1"/>
  <c r="S29" i="3"/>
  <c r="M30" i="3"/>
  <c r="D30" i="3" s="1"/>
  <c r="D31" i="3" s="1"/>
  <c r="N30" i="3"/>
  <c r="E30" i="3" s="1"/>
  <c r="E31" i="3" s="1"/>
  <c r="O30" i="3"/>
  <c r="F30" i="3" s="1"/>
  <c r="F31" i="3" s="1"/>
  <c r="P30" i="3"/>
  <c r="G30" i="3" s="1"/>
  <c r="G31" i="3" s="1"/>
  <c r="Q30" i="3"/>
  <c r="H30" i="3" s="1"/>
  <c r="R30" i="3"/>
  <c r="I30" i="3" s="1"/>
  <c r="S30" i="3"/>
  <c r="J30" i="3" s="1"/>
  <c r="M31" i="3"/>
  <c r="N31" i="3"/>
  <c r="O31" i="3"/>
  <c r="P31" i="3"/>
  <c r="Q31" i="3"/>
  <c r="R31" i="3"/>
  <c r="S31" i="3"/>
  <c r="M32" i="3"/>
  <c r="D32" i="3" s="1"/>
  <c r="N32" i="3"/>
  <c r="E32" i="3" s="1"/>
  <c r="O32" i="3"/>
  <c r="P32" i="3"/>
  <c r="G32" i="3" s="1"/>
  <c r="Q32" i="3"/>
  <c r="H32" i="3" s="1"/>
  <c r="R32" i="3"/>
  <c r="S32" i="3"/>
  <c r="M33" i="3"/>
  <c r="N33" i="3"/>
  <c r="O33" i="3"/>
  <c r="P33" i="3"/>
  <c r="Q33" i="3"/>
  <c r="H33" i="3" s="1"/>
  <c r="R33" i="3"/>
  <c r="I33" i="3" s="1"/>
  <c r="S33" i="3"/>
  <c r="J33" i="3" s="1"/>
  <c r="M34" i="3"/>
  <c r="D34" i="3" s="1"/>
  <c r="D35" i="3" s="1"/>
  <c r="N34" i="3"/>
  <c r="E34" i="3" s="1"/>
  <c r="E35" i="3" s="1"/>
  <c r="O34" i="3"/>
  <c r="F34" i="3" s="1"/>
  <c r="F35" i="3" s="1"/>
  <c r="P34" i="3"/>
  <c r="G34" i="3" s="1"/>
  <c r="G35" i="3" s="1"/>
  <c r="Q34" i="3"/>
  <c r="H34" i="3" s="1"/>
  <c r="R34" i="3"/>
  <c r="I34" i="3" s="1"/>
  <c r="S34" i="3"/>
  <c r="J34" i="3" s="1"/>
  <c r="M35" i="3"/>
  <c r="N35" i="3"/>
  <c r="O35" i="3"/>
  <c r="P35" i="3"/>
  <c r="Q35" i="3"/>
  <c r="R35" i="3"/>
  <c r="S35" i="3"/>
  <c r="N6" i="3"/>
  <c r="E6" i="3" s="1"/>
  <c r="O6" i="3"/>
  <c r="F6" i="3" s="1"/>
  <c r="P6" i="3"/>
  <c r="G6" i="3" s="1"/>
  <c r="Q6" i="3"/>
  <c r="H6" i="3" s="1"/>
  <c r="R6" i="3"/>
  <c r="I6" i="3" s="1"/>
  <c r="S6" i="3"/>
  <c r="J6" i="3" s="1"/>
  <c r="D14" i="3"/>
  <c r="M6" i="3"/>
  <c r="D6" i="3" s="1"/>
  <c r="E69" i="4"/>
  <c r="S62" i="4"/>
  <c r="R62" i="4"/>
  <c r="Q62" i="4"/>
  <c r="P62" i="4"/>
  <c r="O62" i="4"/>
  <c r="F62" i="4" s="1"/>
  <c r="N62" i="4"/>
  <c r="M62" i="4"/>
  <c r="J62" i="4"/>
  <c r="I62" i="4"/>
  <c r="H62" i="4"/>
  <c r="G62" i="4"/>
  <c r="E62" i="4"/>
  <c r="D62" i="4"/>
  <c r="S61" i="4"/>
  <c r="R61" i="4"/>
  <c r="I61" i="4" s="1"/>
  <c r="Q61" i="4"/>
  <c r="P61" i="4"/>
  <c r="O61" i="4"/>
  <c r="N61" i="4"/>
  <c r="M61" i="4"/>
  <c r="D61" i="4" s="1"/>
  <c r="J61" i="4"/>
  <c r="H61" i="4"/>
  <c r="G61" i="4"/>
  <c r="F61" i="4"/>
  <c r="E61" i="4"/>
  <c r="S60" i="4"/>
  <c r="J60" i="4" s="1"/>
  <c r="R60" i="4"/>
  <c r="Q60" i="4"/>
  <c r="P60" i="4"/>
  <c r="G60" i="4" s="1"/>
  <c r="O60" i="4"/>
  <c r="N60" i="4"/>
  <c r="M60" i="4"/>
  <c r="I60" i="4"/>
  <c r="H60" i="4"/>
  <c r="F60" i="4"/>
  <c r="E60" i="4"/>
  <c r="D60" i="4"/>
  <c r="S59" i="4"/>
  <c r="J59" i="4" s="1"/>
  <c r="R59" i="4"/>
  <c r="Q59" i="4"/>
  <c r="H59" i="4" s="1"/>
  <c r="P59" i="4"/>
  <c r="O59" i="4"/>
  <c r="N59" i="4"/>
  <c r="E59" i="4" s="1"/>
  <c r="M59" i="4"/>
  <c r="I59" i="4"/>
  <c r="G59" i="4"/>
  <c r="F59" i="4"/>
  <c r="D59" i="4"/>
  <c r="S58" i="4"/>
  <c r="J58" i="4" s="1"/>
  <c r="R58" i="4"/>
  <c r="I58" i="4" s="1"/>
  <c r="Q58" i="4"/>
  <c r="H58" i="4" s="1"/>
  <c r="P58" i="4"/>
  <c r="G58" i="4" s="1"/>
  <c r="O58" i="4"/>
  <c r="F58" i="4" s="1"/>
  <c r="N58" i="4"/>
  <c r="E58" i="4" s="1"/>
  <c r="M58" i="4"/>
  <c r="D58" i="4" s="1"/>
  <c r="S57" i="4"/>
  <c r="R57" i="4"/>
  <c r="I57" i="4" s="1"/>
  <c r="Q57" i="4"/>
  <c r="H57" i="4" s="1"/>
  <c r="P57" i="4"/>
  <c r="G57" i="4" s="1"/>
  <c r="O57" i="4"/>
  <c r="F57" i="4" s="1"/>
  <c r="N57" i="4"/>
  <c r="E57" i="4" s="1"/>
  <c r="M57" i="4"/>
  <c r="D57" i="4" s="1"/>
  <c r="S56" i="4"/>
  <c r="J56" i="4" s="1"/>
  <c r="R56" i="4"/>
  <c r="I56" i="4" s="1"/>
  <c r="Q56" i="4"/>
  <c r="P56" i="4"/>
  <c r="G56" i="4" s="1"/>
  <c r="O56" i="4"/>
  <c r="F56" i="4" s="1"/>
  <c r="N56" i="4"/>
  <c r="E56" i="4" s="1"/>
  <c r="M56" i="4"/>
  <c r="D56" i="4" s="1"/>
  <c r="H56" i="4"/>
  <c r="S55" i="4"/>
  <c r="J55" i="4" s="1"/>
  <c r="R55" i="4"/>
  <c r="I55" i="4" s="1"/>
  <c r="Q55" i="4"/>
  <c r="H55" i="4" s="1"/>
  <c r="P55" i="4"/>
  <c r="G55" i="4" s="1"/>
  <c r="O55" i="4"/>
  <c r="F55" i="4" s="1"/>
  <c r="N55" i="4"/>
  <c r="E55" i="4" s="1"/>
  <c r="M55" i="4"/>
  <c r="D55" i="4" s="1"/>
  <c r="S54" i="4"/>
  <c r="J54" i="4" s="1"/>
  <c r="S53" i="4"/>
  <c r="J53" i="4" s="1"/>
  <c r="R53" i="4"/>
  <c r="I53" i="4" s="1"/>
  <c r="Q53" i="4"/>
  <c r="P53" i="4"/>
  <c r="G53" i="4" s="1"/>
  <c r="O53" i="4"/>
  <c r="F53" i="4" s="1"/>
  <c r="N53" i="4"/>
  <c r="E53" i="4" s="1"/>
  <c r="M53" i="4"/>
  <c r="S52" i="4"/>
  <c r="J52" i="4" s="1"/>
  <c r="R52" i="4"/>
  <c r="I52" i="4" s="1"/>
  <c r="Q52" i="4"/>
  <c r="H52" i="4" s="1"/>
  <c r="P52" i="4"/>
  <c r="G52" i="4" s="1"/>
  <c r="O52" i="4"/>
  <c r="F52" i="4" s="1"/>
  <c r="N52" i="4"/>
  <c r="E52" i="4" s="1"/>
  <c r="M52" i="4"/>
  <c r="D52" i="4" s="1"/>
  <c r="S51" i="4"/>
  <c r="R51" i="4"/>
  <c r="I51" i="4" s="1"/>
  <c r="Q51" i="4"/>
  <c r="H51" i="4" s="1"/>
  <c r="P51" i="4"/>
  <c r="G51" i="4" s="1"/>
  <c r="O51" i="4"/>
  <c r="F51" i="4" s="1"/>
  <c r="N51" i="4"/>
  <c r="E51" i="4" s="1"/>
  <c r="M51" i="4"/>
  <c r="D51" i="4" s="1"/>
  <c r="S50" i="4"/>
  <c r="J50" i="4" s="1"/>
  <c r="R50" i="4"/>
  <c r="I50" i="4" s="1"/>
  <c r="Q50" i="4"/>
  <c r="H50" i="4" s="1"/>
  <c r="P50" i="4"/>
  <c r="G50" i="4" s="1"/>
  <c r="O50" i="4"/>
  <c r="F50" i="4" s="1"/>
  <c r="N50" i="4"/>
  <c r="E50" i="4" s="1"/>
  <c r="M50" i="4"/>
  <c r="D50" i="4" s="1"/>
  <c r="S49" i="4"/>
  <c r="J49" i="4" s="1"/>
  <c r="R49" i="4"/>
  <c r="I49" i="4" s="1"/>
  <c r="Q49" i="4"/>
  <c r="H49" i="4" s="1"/>
  <c r="P49" i="4"/>
  <c r="O49" i="4"/>
  <c r="F49" i="4" s="1"/>
  <c r="N49" i="4"/>
  <c r="E49" i="4" s="1"/>
  <c r="M49" i="4"/>
  <c r="D49" i="4" s="1"/>
  <c r="G49" i="4"/>
  <c r="S46" i="4"/>
  <c r="R46" i="4"/>
  <c r="I46" i="4" s="1"/>
  <c r="Q46" i="4"/>
  <c r="H46" i="4" s="1"/>
  <c r="P46" i="4"/>
  <c r="G46" i="4" s="1"/>
  <c r="O46" i="4"/>
  <c r="F46" i="4" s="1"/>
  <c r="N46" i="4"/>
  <c r="E46" i="4" s="1"/>
  <c r="M46" i="4"/>
  <c r="D46" i="4" s="1"/>
  <c r="S45" i="4"/>
  <c r="J45" i="4" s="1"/>
  <c r="R45" i="4"/>
  <c r="I45" i="4" s="1"/>
  <c r="Q45" i="4"/>
  <c r="H45" i="4" s="1"/>
  <c r="P45" i="4"/>
  <c r="G45" i="4" s="1"/>
  <c r="O45" i="4"/>
  <c r="F45" i="4" s="1"/>
  <c r="N45" i="4"/>
  <c r="E45" i="4" s="1"/>
  <c r="M45" i="4"/>
  <c r="D45" i="4" s="1"/>
  <c r="S44" i="4"/>
  <c r="J44" i="4" s="1"/>
  <c r="R44" i="4"/>
  <c r="I44" i="4" s="1"/>
  <c r="Q44" i="4"/>
  <c r="H44" i="4" s="1"/>
  <c r="P44" i="4"/>
  <c r="G44" i="4" s="1"/>
  <c r="O44" i="4"/>
  <c r="F44" i="4" s="1"/>
  <c r="N44" i="4"/>
  <c r="E44" i="4" s="1"/>
  <c r="M44" i="4"/>
  <c r="D44" i="4" s="1"/>
  <c r="S43" i="4"/>
  <c r="R43" i="4"/>
  <c r="I43" i="4" s="1"/>
  <c r="Q43" i="4"/>
  <c r="H43" i="4" s="1"/>
  <c r="P43" i="4"/>
  <c r="G43" i="4" s="1"/>
  <c r="O43" i="4"/>
  <c r="F43" i="4" s="1"/>
  <c r="N43" i="4"/>
  <c r="E43" i="4" s="1"/>
  <c r="E48" i="4" s="1"/>
  <c r="M43" i="4"/>
  <c r="D43" i="4" s="1"/>
  <c r="S42" i="4"/>
  <c r="J42" i="4" s="1"/>
  <c r="R42" i="4"/>
  <c r="I42" i="4" s="1"/>
  <c r="Q42" i="4"/>
  <c r="H42" i="4" s="1"/>
  <c r="H47" i="4" s="1"/>
  <c r="P42" i="4"/>
  <c r="G42" i="4" s="1"/>
  <c r="O42" i="4"/>
  <c r="F42" i="4" s="1"/>
  <c r="N42" i="4"/>
  <c r="E42" i="4" s="1"/>
  <c r="M42" i="4"/>
  <c r="D42" i="4" s="1"/>
  <c r="S41" i="4"/>
  <c r="J41" i="4" s="1"/>
  <c r="R41" i="4"/>
  <c r="I41" i="4" s="1"/>
  <c r="Q41" i="4"/>
  <c r="H41" i="4" s="1"/>
  <c r="P41" i="4"/>
  <c r="G41" i="4" s="1"/>
  <c r="O41" i="4"/>
  <c r="F41" i="4" s="1"/>
  <c r="N41" i="4"/>
  <c r="E41" i="4" s="1"/>
  <c r="M41" i="4"/>
  <c r="D41" i="4" s="1"/>
  <c r="S40" i="4"/>
  <c r="J40" i="4" s="1"/>
  <c r="R40" i="4"/>
  <c r="Q40" i="4"/>
  <c r="P40" i="4"/>
  <c r="G40" i="4" s="1"/>
  <c r="O40" i="4"/>
  <c r="N40" i="4"/>
  <c r="E40" i="4" s="1"/>
  <c r="M40" i="4"/>
  <c r="I40" i="4"/>
  <c r="H40" i="4"/>
  <c r="F40" i="4"/>
  <c r="D40" i="4"/>
  <c r="S39" i="4"/>
  <c r="R39" i="4"/>
  <c r="I39" i="4" s="1"/>
  <c r="Q39" i="4"/>
  <c r="H39" i="4" s="1"/>
  <c r="P39" i="4"/>
  <c r="G39" i="4" s="1"/>
  <c r="O39" i="4"/>
  <c r="F39" i="4" s="1"/>
  <c r="N39" i="4"/>
  <c r="E39" i="4" s="1"/>
  <c r="M39" i="4"/>
  <c r="D39" i="4" s="1"/>
  <c r="S37" i="4"/>
  <c r="J37" i="4" s="1"/>
  <c r="R37" i="4"/>
  <c r="I37" i="4" s="1"/>
  <c r="Q37" i="4"/>
  <c r="P37" i="4"/>
  <c r="O37" i="4"/>
  <c r="N37" i="4"/>
  <c r="M37" i="4"/>
  <c r="S36" i="4"/>
  <c r="J36" i="4" s="1"/>
  <c r="R36" i="4"/>
  <c r="I36" i="4" s="1"/>
  <c r="Q36" i="4"/>
  <c r="P36" i="4"/>
  <c r="O36" i="4"/>
  <c r="N36" i="4"/>
  <c r="M36" i="4"/>
  <c r="S35" i="4"/>
  <c r="J35" i="4" s="1"/>
  <c r="R35" i="4"/>
  <c r="I35" i="4" s="1"/>
  <c r="Q35" i="4"/>
  <c r="H35" i="4" s="1"/>
  <c r="P35" i="4"/>
  <c r="G35" i="4" s="1"/>
  <c r="O35" i="4"/>
  <c r="F35" i="4" s="1"/>
  <c r="N35" i="4"/>
  <c r="E35" i="4" s="1"/>
  <c r="M35" i="4"/>
  <c r="D35" i="4" s="1"/>
  <c r="S34" i="4"/>
  <c r="R34" i="4"/>
  <c r="I34" i="4" s="1"/>
  <c r="Q34" i="4"/>
  <c r="H34" i="4" s="1"/>
  <c r="P34" i="4"/>
  <c r="G34" i="4" s="1"/>
  <c r="O34" i="4"/>
  <c r="F34" i="4" s="1"/>
  <c r="N34" i="4"/>
  <c r="E34" i="4" s="1"/>
  <c r="M34" i="4"/>
  <c r="D34" i="4"/>
  <c r="S32" i="4"/>
  <c r="J32" i="4" s="1"/>
  <c r="R32" i="4"/>
  <c r="I32" i="4" s="1"/>
  <c r="Q32" i="4"/>
  <c r="H32" i="4" s="1"/>
  <c r="P32" i="4"/>
  <c r="O32" i="4"/>
  <c r="N32" i="4"/>
  <c r="M32" i="4"/>
  <c r="S31" i="4"/>
  <c r="J31" i="4" s="1"/>
  <c r="R31" i="4"/>
  <c r="I31" i="4" s="1"/>
  <c r="Q31" i="4"/>
  <c r="P31" i="4"/>
  <c r="O31" i="4"/>
  <c r="N31" i="4"/>
  <c r="M31" i="4"/>
  <c r="S30" i="4"/>
  <c r="J30" i="4" s="1"/>
  <c r="R30" i="4"/>
  <c r="I30" i="4" s="1"/>
  <c r="Q30" i="4"/>
  <c r="H30" i="4" s="1"/>
  <c r="P30" i="4"/>
  <c r="G30" i="4" s="1"/>
  <c r="O30" i="4"/>
  <c r="F30" i="4" s="1"/>
  <c r="N30" i="4"/>
  <c r="E30" i="4" s="1"/>
  <c r="M30" i="4"/>
  <c r="D30" i="4" s="1"/>
  <c r="S29" i="4"/>
  <c r="J29" i="4" s="1"/>
  <c r="R29" i="4"/>
  <c r="Q29" i="4"/>
  <c r="H29" i="4" s="1"/>
  <c r="P29" i="4"/>
  <c r="G29" i="4" s="1"/>
  <c r="O29" i="4"/>
  <c r="F29" i="4" s="1"/>
  <c r="N29" i="4"/>
  <c r="E29" i="4" s="1"/>
  <c r="M29" i="4"/>
  <c r="D29" i="4" s="1"/>
  <c r="I29" i="4"/>
  <c r="S27" i="4"/>
  <c r="J27" i="4" s="1"/>
  <c r="R27" i="4"/>
  <c r="I27" i="4" s="1"/>
  <c r="Q27" i="4"/>
  <c r="H27" i="4" s="1"/>
  <c r="P27" i="4"/>
  <c r="O27" i="4"/>
  <c r="N27" i="4"/>
  <c r="M27" i="4"/>
  <c r="S26" i="4"/>
  <c r="J26" i="4" s="1"/>
  <c r="R26" i="4"/>
  <c r="Q26" i="4"/>
  <c r="P26" i="4"/>
  <c r="O26" i="4"/>
  <c r="N26" i="4"/>
  <c r="M26" i="4"/>
  <c r="I26" i="4"/>
  <c r="S25" i="4"/>
  <c r="J25" i="4" s="1"/>
  <c r="R25" i="4"/>
  <c r="Q25" i="4"/>
  <c r="H25" i="4" s="1"/>
  <c r="P25" i="4"/>
  <c r="G25" i="4" s="1"/>
  <c r="O25" i="4"/>
  <c r="F25" i="4" s="1"/>
  <c r="N25" i="4"/>
  <c r="E25" i="4" s="1"/>
  <c r="M25" i="4"/>
  <c r="D25" i="4" s="1"/>
  <c r="I25" i="4"/>
  <c r="Q24" i="4"/>
  <c r="H24" i="4" s="1"/>
  <c r="P24" i="4"/>
  <c r="G24" i="4" s="1"/>
  <c r="O24" i="4"/>
  <c r="F24" i="4" s="1"/>
  <c r="N24" i="4"/>
  <c r="E24" i="4" s="1"/>
  <c r="M24" i="4"/>
  <c r="D24" i="4" s="1"/>
  <c r="S23" i="4"/>
  <c r="J23" i="4" s="1"/>
  <c r="R23" i="4"/>
  <c r="I23" i="4" s="1"/>
  <c r="Q23" i="4"/>
  <c r="H23" i="4" s="1"/>
  <c r="P23" i="4"/>
  <c r="G23" i="4" s="1"/>
  <c r="O23" i="4"/>
  <c r="F23" i="4" s="1"/>
  <c r="N23" i="4"/>
  <c r="E23" i="4" s="1"/>
  <c r="M23" i="4"/>
  <c r="D23" i="4" s="1"/>
  <c r="S22" i="4"/>
  <c r="J22" i="4" s="1"/>
  <c r="R22" i="4"/>
  <c r="I22" i="4" s="1"/>
  <c r="Q22" i="4"/>
  <c r="H22" i="4" s="1"/>
  <c r="P22" i="4"/>
  <c r="O22" i="4"/>
  <c r="N22" i="4"/>
  <c r="M22" i="4"/>
  <c r="S21" i="4"/>
  <c r="J21" i="4" s="1"/>
  <c r="R21" i="4"/>
  <c r="I21" i="4" s="1"/>
  <c r="Q21" i="4"/>
  <c r="P21" i="4"/>
  <c r="O21" i="4"/>
  <c r="N21" i="4"/>
  <c r="M21" i="4"/>
  <c r="S20" i="4"/>
  <c r="J20" i="4" s="1"/>
  <c r="R20" i="4"/>
  <c r="I20" i="4" s="1"/>
  <c r="Q20" i="4"/>
  <c r="H20" i="4" s="1"/>
  <c r="P20" i="4"/>
  <c r="G20" i="4" s="1"/>
  <c r="O20" i="4"/>
  <c r="F20" i="4" s="1"/>
  <c r="N20" i="4"/>
  <c r="E20" i="4" s="1"/>
  <c r="M20" i="4"/>
  <c r="D20" i="4" s="1"/>
  <c r="S19" i="4"/>
  <c r="J19" i="4" s="1"/>
  <c r="R19" i="4"/>
  <c r="I19" i="4" s="1"/>
  <c r="Q19" i="4"/>
  <c r="H19" i="4" s="1"/>
  <c r="P19" i="4"/>
  <c r="G19" i="4" s="1"/>
  <c r="O19" i="4"/>
  <c r="F19" i="4" s="1"/>
  <c r="N19" i="4"/>
  <c r="E19" i="4" s="1"/>
  <c r="M19" i="4"/>
  <c r="D19" i="4" s="1"/>
  <c r="S18" i="4"/>
  <c r="J18" i="4" s="1"/>
  <c r="R18" i="4"/>
  <c r="I18" i="4" s="1"/>
  <c r="Q18" i="4"/>
  <c r="H18" i="4" s="1"/>
  <c r="P18" i="4"/>
  <c r="G18" i="4" s="1"/>
  <c r="O18" i="4"/>
  <c r="F18" i="4" s="1"/>
  <c r="N18" i="4"/>
  <c r="E18" i="4" s="1"/>
  <c r="M18" i="4"/>
  <c r="D18" i="4" s="1"/>
  <c r="S17" i="4"/>
  <c r="J17" i="4" s="1"/>
  <c r="R17" i="4"/>
  <c r="I17" i="4" s="1"/>
  <c r="Q17" i="4"/>
  <c r="H17" i="4" s="1"/>
  <c r="P17" i="4"/>
  <c r="G17" i="4" s="1"/>
  <c r="O17" i="4"/>
  <c r="F17" i="4" s="1"/>
  <c r="N17" i="4"/>
  <c r="E17" i="4" s="1"/>
  <c r="M17" i="4"/>
  <c r="D17" i="4" s="1"/>
  <c r="S16" i="4"/>
  <c r="J16" i="4" s="1"/>
  <c r="R16" i="4"/>
  <c r="I16" i="4" s="1"/>
  <c r="Q16" i="4"/>
  <c r="H16" i="4" s="1"/>
  <c r="P16" i="4"/>
  <c r="O16" i="4"/>
  <c r="N16" i="4"/>
  <c r="M16" i="4"/>
  <c r="S15" i="4"/>
  <c r="R15" i="4"/>
  <c r="I15" i="4" s="1"/>
  <c r="Q15" i="4"/>
  <c r="P15" i="4"/>
  <c r="O15" i="4"/>
  <c r="N15" i="4"/>
  <c r="M15" i="4"/>
  <c r="J15" i="4"/>
  <c r="S14" i="4"/>
  <c r="J14" i="4" s="1"/>
  <c r="R14" i="4"/>
  <c r="I14" i="4" s="1"/>
  <c r="Q14" i="4"/>
  <c r="H14" i="4" s="1"/>
  <c r="P14" i="4"/>
  <c r="G14" i="4" s="1"/>
  <c r="O14" i="4"/>
  <c r="F14" i="4" s="1"/>
  <c r="N14" i="4"/>
  <c r="E14" i="4" s="1"/>
  <c r="M14" i="4"/>
  <c r="D14" i="4" s="1"/>
  <c r="S13" i="4"/>
  <c r="R13" i="4"/>
  <c r="I13" i="4" s="1"/>
  <c r="Q13" i="4"/>
  <c r="H13" i="4" s="1"/>
  <c r="P13" i="4"/>
  <c r="G13" i="4" s="1"/>
  <c r="O13" i="4"/>
  <c r="F13" i="4" s="1"/>
  <c r="N13" i="4"/>
  <c r="E13" i="4" s="1"/>
  <c r="M13" i="4"/>
  <c r="D13" i="4" s="1"/>
  <c r="J13" i="4"/>
  <c r="S12" i="4"/>
  <c r="J12" i="4" s="1"/>
  <c r="R12" i="4"/>
  <c r="I12" i="4" s="1"/>
  <c r="Q12" i="4"/>
  <c r="H12" i="4" s="1"/>
  <c r="P12" i="4"/>
  <c r="O12" i="4"/>
  <c r="N12" i="4"/>
  <c r="M12" i="4"/>
  <c r="S11" i="4"/>
  <c r="J11" i="4" s="1"/>
  <c r="R11" i="4"/>
  <c r="I11" i="4" s="1"/>
  <c r="Q11" i="4"/>
  <c r="P11" i="4"/>
  <c r="O11" i="4"/>
  <c r="N11" i="4"/>
  <c r="M11" i="4"/>
  <c r="S10" i="4"/>
  <c r="R10" i="4"/>
  <c r="I10" i="4" s="1"/>
  <c r="Q10" i="4"/>
  <c r="H10" i="4" s="1"/>
  <c r="P10" i="4"/>
  <c r="G10" i="4" s="1"/>
  <c r="O10" i="4"/>
  <c r="F10" i="4" s="1"/>
  <c r="N10" i="4"/>
  <c r="E10" i="4" s="1"/>
  <c r="M10" i="4"/>
  <c r="D10" i="4" s="1"/>
  <c r="J10" i="4"/>
  <c r="S9" i="4"/>
  <c r="J9" i="4" s="1"/>
  <c r="R9" i="4"/>
  <c r="I9" i="4" s="1"/>
  <c r="Q9" i="4"/>
  <c r="H9" i="4" s="1"/>
  <c r="P9" i="4"/>
  <c r="G9" i="4" s="1"/>
  <c r="G67" i="4" s="1"/>
  <c r="O9" i="4"/>
  <c r="F9" i="4" s="1"/>
  <c r="F67" i="4" s="1"/>
  <c r="N9" i="4"/>
  <c r="E9" i="4" s="1"/>
  <c r="E67" i="4" s="1"/>
  <c r="M9" i="4"/>
  <c r="D9" i="4" s="1"/>
  <c r="D67" i="4" s="1"/>
  <c r="S8" i="4"/>
  <c r="J8" i="4" s="1"/>
  <c r="R8" i="4"/>
  <c r="I8" i="4" s="1"/>
  <c r="Q8" i="4"/>
  <c r="H8" i="4" s="1"/>
  <c r="P8" i="4"/>
  <c r="O8" i="4"/>
  <c r="N8" i="4"/>
  <c r="M8" i="4"/>
  <c r="S7" i="4"/>
  <c r="J7" i="4" s="1"/>
  <c r="R7" i="4"/>
  <c r="I7" i="4" s="1"/>
  <c r="Q7" i="4"/>
  <c r="P7" i="4"/>
  <c r="O7" i="4"/>
  <c r="N7" i="4"/>
  <c r="M7" i="4"/>
  <c r="S6" i="4"/>
  <c r="J6" i="4" s="1"/>
  <c r="R6" i="4"/>
  <c r="I6" i="4" s="1"/>
  <c r="Q6" i="4"/>
  <c r="H6" i="4" s="1"/>
  <c r="P6" i="4"/>
  <c r="G6" i="4" s="1"/>
  <c r="O6" i="4"/>
  <c r="F6" i="4" s="1"/>
  <c r="N6" i="4"/>
  <c r="E6" i="4" s="1"/>
  <c r="M6" i="4"/>
  <c r="D6" i="4" s="1"/>
  <c r="S58" i="3"/>
  <c r="J58" i="3" s="1"/>
  <c r="S57" i="3"/>
  <c r="J57" i="3" s="1"/>
  <c r="S56" i="3"/>
  <c r="J56" i="3" s="1"/>
  <c r="S55" i="3"/>
  <c r="J55" i="3" s="1"/>
  <c r="J50" i="3"/>
  <c r="J45" i="3"/>
  <c r="Q36" i="3"/>
  <c r="H36" i="3" s="1"/>
  <c r="R36" i="3"/>
  <c r="I36" i="3" s="1"/>
  <c r="S36" i="3"/>
  <c r="J36" i="3" s="1"/>
  <c r="I53" i="3"/>
  <c r="J49" i="3"/>
  <c r="I49" i="3"/>
  <c r="H48" i="3"/>
  <c r="E65" i="3"/>
  <c r="R58" i="3"/>
  <c r="I58" i="3" s="1"/>
  <c r="R57" i="3"/>
  <c r="I57" i="3" s="1"/>
  <c r="R56" i="3"/>
  <c r="I56" i="3" s="1"/>
  <c r="R55" i="3"/>
  <c r="I55" i="3" s="1"/>
  <c r="Q55" i="3"/>
  <c r="J54" i="3"/>
  <c r="J51" i="3"/>
  <c r="J46" i="3"/>
  <c r="J41" i="3"/>
  <c r="J38" i="3"/>
  <c r="J37" i="3"/>
  <c r="J32" i="3"/>
  <c r="J29" i="3"/>
  <c r="J24" i="3"/>
  <c r="J22" i="3"/>
  <c r="J20" i="3"/>
  <c r="J18" i="3"/>
  <c r="J17" i="3"/>
  <c r="J13" i="3"/>
  <c r="J12" i="3"/>
  <c r="J10" i="3"/>
  <c r="J9" i="3"/>
  <c r="O36" i="3"/>
  <c r="F36" i="3" s="1"/>
  <c r="Q58" i="3"/>
  <c r="Q57" i="3"/>
  <c r="Q56" i="3"/>
  <c r="I45" i="3"/>
  <c r="I40" i="3"/>
  <c r="I38" i="3"/>
  <c r="I32" i="3"/>
  <c r="I24" i="3"/>
  <c r="I19" i="3"/>
  <c r="I17" i="3"/>
  <c r="I16" i="3"/>
  <c r="I12" i="3"/>
  <c r="I11" i="3"/>
  <c r="I9" i="3"/>
  <c r="I8" i="3"/>
  <c r="G48" i="3"/>
  <c r="F48" i="3"/>
  <c r="E49" i="3"/>
  <c r="G47" i="3"/>
  <c r="F47" i="3"/>
  <c r="E47" i="3"/>
  <c r="P55" i="3"/>
  <c r="G55" i="3" s="1"/>
  <c r="O55" i="3"/>
  <c r="F55" i="3" s="1"/>
  <c r="N55" i="3"/>
  <c r="E55" i="3" s="1"/>
  <c r="M55" i="3"/>
  <c r="D55" i="3" s="1"/>
  <c r="P58" i="3"/>
  <c r="G58" i="3" s="1"/>
  <c r="O58" i="3"/>
  <c r="F58" i="3" s="1"/>
  <c r="N58" i="3"/>
  <c r="E58" i="3" s="1"/>
  <c r="M58" i="3"/>
  <c r="D58" i="3" s="1"/>
  <c r="P57" i="3"/>
  <c r="G57" i="3" s="1"/>
  <c r="O57" i="3"/>
  <c r="F57" i="3" s="1"/>
  <c r="N57" i="3"/>
  <c r="E57" i="3" s="1"/>
  <c r="M57" i="3"/>
  <c r="D57" i="3" s="1"/>
  <c r="P56" i="3"/>
  <c r="G56" i="3" s="1"/>
  <c r="O56" i="3"/>
  <c r="F56" i="3" s="1"/>
  <c r="N56" i="3"/>
  <c r="E56" i="3" s="1"/>
  <c r="M56" i="3"/>
  <c r="D56" i="3" s="1"/>
  <c r="M36" i="3"/>
  <c r="D36" i="3" s="1"/>
  <c r="P36" i="3"/>
  <c r="G36" i="3" s="1"/>
  <c r="N36" i="3"/>
  <c r="E36" i="3" s="1"/>
  <c r="H16" i="3"/>
  <c r="G14" i="3"/>
  <c r="F14" i="3"/>
  <c r="F13" i="3"/>
  <c r="E13" i="3"/>
  <c r="H54" i="3"/>
  <c r="D54" i="3"/>
  <c r="H53" i="3"/>
  <c r="F53" i="3"/>
  <c r="H52" i="3"/>
  <c r="G52" i="3"/>
  <c r="F52" i="3"/>
  <c r="G51" i="3"/>
  <c r="F51" i="3"/>
  <c r="E51" i="3"/>
  <c r="D51" i="3"/>
  <c r="D47" i="3"/>
  <c r="H46" i="3"/>
  <c r="G46" i="3"/>
  <c r="D46" i="3"/>
  <c r="H45" i="3"/>
  <c r="F45" i="3"/>
  <c r="D45" i="3"/>
  <c r="E42" i="3"/>
  <c r="H41" i="3"/>
  <c r="F41" i="3"/>
  <c r="D41" i="3"/>
  <c r="H40" i="3"/>
  <c r="G40" i="3"/>
  <c r="F40" i="3"/>
  <c r="E40" i="3"/>
  <c r="D40" i="3"/>
  <c r="G39" i="3"/>
  <c r="F39" i="3"/>
  <c r="D39" i="3"/>
  <c r="F38" i="3"/>
  <c r="E38" i="3"/>
  <c r="H37" i="3"/>
  <c r="F32" i="3"/>
  <c r="G28" i="3"/>
  <c r="E28" i="3"/>
  <c r="F24" i="3"/>
  <c r="H23" i="3"/>
  <c r="E23" i="3"/>
  <c r="H22" i="3"/>
  <c r="G22" i="3"/>
  <c r="F22" i="3"/>
  <c r="E22" i="3"/>
  <c r="D22" i="3"/>
  <c r="F20" i="3"/>
  <c r="E20" i="3"/>
  <c r="D20" i="3"/>
  <c r="F19" i="3"/>
  <c r="D19" i="3"/>
  <c r="H18" i="3"/>
  <c r="G17" i="3"/>
  <c r="H10" i="3"/>
  <c r="G9" i="3"/>
  <c r="G63" i="3" s="1"/>
  <c r="H8" i="3"/>
  <c r="I31" i="3" l="1"/>
  <c r="J39" i="4"/>
  <c r="H66" i="4"/>
  <c r="I66" i="4" s="1"/>
  <c r="J66" i="4" s="1"/>
  <c r="D47" i="4"/>
  <c r="M54" i="4"/>
  <c r="D54" i="4" s="1"/>
  <c r="F47" i="4"/>
  <c r="N54" i="4"/>
  <c r="E54" i="4" s="1"/>
  <c r="F48" i="4"/>
  <c r="Q54" i="4"/>
  <c r="H54" i="4" s="1"/>
  <c r="E47" i="4"/>
  <c r="I48" i="4"/>
  <c r="H53" i="4"/>
  <c r="G47" i="4"/>
  <c r="I47" i="4"/>
  <c r="G48" i="4"/>
  <c r="J47" i="4"/>
  <c r="D48" i="4"/>
  <c r="O54" i="4"/>
  <c r="F54" i="4" s="1"/>
  <c r="P54" i="4"/>
  <c r="G54" i="4" s="1"/>
  <c r="J34" i="4"/>
  <c r="H48" i="4"/>
  <c r="D53" i="4"/>
  <c r="R24" i="4"/>
  <c r="I24" i="4" s="1"/>
  <c r="AD25" i="4"/>
  <c r="AD32" i="4" s="1"/>
  <c r="R54" i="4"/>
  <c r="I54" i="4" s="1"/>
  <c r="S24" i="4"/>
  <c r="H62" i="3"/>
  <c r="I62" i="3" s="1"/>
  <c r="J62" i="3" s="1"/>
  <c r="J31" i="3" s="1"/>
  <c r="J43" i="3"/>
  <c r="H43" i="3"/>
  <c r="AD25" i="3"/>
  <c r="AD35" i="3" s="1"/>
  <c r="AE35" i="3" s="1"/>
  <c r="AF35" i="3" s="1"/>
  <c r="I23" i="3"/>
  <c r="AD43" i="3"/>
  <c r="I43" i="3"/>
  <c r="I22" i="3"/>
  <c r="G43" i="3"/>
  <c r="D43" i="3"/>
  <c r="G44" i="3"/>
  <c r="I50" i="3"/>
  <c r="F44" i="3"/>
  <c r="D44" i="3"/>
  <c r="E43" i="3"/>
  <c r="H44" i="3"/>
  <c r="F43" i="3"/>
  <c r="E44" i="3"/>
  <c r="G50" i="3"/>
  <c r="F50" i="3"/>
  <c r="F49" i="3"/>
  <c r="H49" i="3"/>
  <c r="G49" i="3"/>
  <c r="D50" i="3"/>
  <c r="E50" i="3"/>
  <c r="H58" i="3"/>
  <c r="H56" i="3"/>
  <c r="H55" i="3"/>
  <c r="H57" i="3"/>
  <c r="J43" i="4" l="1"/>
  <c r="J46" i="4"/>
  <c r="J48" i="4" s="1"/>
  <c r="H67" i="4"/>
  <c r="I67" i="4" s="1"/>
  <c r="J67" i="4" s="1"/>
  <c r="J57" i="4" s="1"/>
  <c r="J23" i="3"/>
  <c r="J27" i="3"/>
  <c r="H31" i="3"/>
  <c r="H35" i="3"/>
  <c r="AD36" i="3" s="1"/>
  <c r="AE36" i="3" s="1"/>
  <c r="AF36" i="3" s="1"/>
  <c r="AF37" i="3" s="1"/>
  <c r="I27" i="3"/>
  <c r="I35" i="3"/>
  <c r="H27" i="3"/>
  <c r="AD28" i="3" s="1"/>
  <c r="AE28" i="3" s="1"/>
  <c r="AE29" i="3" s="1"/>
  <c r="J35" i="3"/>
  <c r="J42" i="3"/>
  <c r="H63" i="3"/>
  <c r="I63" i="3" s="1"/>
  <c r="J63" i="3" s="1"/>
  <c r="J53" i="3" s="1"/>
  <c r="J39" i="3"/>
  <c r="AD35" i="4"/>
  <c r="AE35" i="4" s="1"/>
  <c r="AF35" i="4" s="1"/>
  <c r="AD43" i="4"/>
  <c r="AD28" i="4"/>
  <c r="AE28" i="4" s="1"/>
  <c r="AD36" i="4"/>
  <c r="AE36" i="4" s="1"/>
  <c r="J24" i="4"/>
  <c r="I44" i="3"/>
  <c r="AD32" i="3"/>
  <c r="H50" i="3"/>
  <c r="J51" i="4" l="1"/>
  <c r="J44" i="3"/>
  <c r="J47" i="3"/>
  <c r="AF36" i="4"/>
  <c r="AF37" i="4" s="1"/>
  <c r="AE37" i="4"/>
  <c r="AE29" i="4"/>
  <c r="AF28" i="4"/>
  <c r="AF29" i="4" s="1"/>
  <c r="AF28" i="3"/>
  <c r="AF29" i="3" s="1"/>
  <c r="AE37" i="3"/>
</calcChain>
</file>

<file path=xl/sharedStrings.xml><?xml version="1.0" encoding="utf-8"?>
<sst xmlns="http://schemas.openxmlformats.org/spreadsheetml/2006/main" count="434" uniqueCount="175">
  <si>
    <t>21M09</t>
  </si>
  <si>
    <t>21M10</t>
  </si>
  <si>
    <t>21M11</t>
  </si>
  <si>
    <t>21M12</t>
  </si>
  <si>
    <t>22M01</t>
  </si>
  <si>
    <t>22M02</t>
  </si>
  <si>
    <t>22M03</t>
  </si>
  <si>
    <t>22M04</t>
  </si>
  <si>
    <t>22M05</t>
  </si>
  <si>
    <t>22M06</t>
  </si>
  <si>
    <t>22M07</t>
  </si>
  <si>
    <t>22M08</t>
  </si>
  <si>
    <t>22M09</t>
  </si>
  <si>
    <t>22M10</t>
  </si>
  <si>
    <t>22M11</t>
  </si>
  <si>
    <t>22M12</t>
  </si>
  <si>
    <t>23M01</t>
  </si>
  <si>
    <t>23M02</t>
  </si>
  <si>
    <t>23M03</t>
  </si>
  <si>
    <t>23M04</t>
  </si>
  <si>
    <t>23M05</t>
  </si>
  <si>
    <t>23M06</t>
  </si>
  <si>
    <t>23M07</t>
  </si>
  <si>
    <t>23M08</t>
  </si>
  <si>
    <t>23M09</t>
  </si>
  <si>
    <t>23M10</t>
  </si>
  <si>
    <t>cpi_yoy</t>
  </si>
  <si>
    <t>cpi_qoq</t>
  </si>
  <si>
    <t>cpi_mom</t>
  </si>
  <si>
    <t>usd_mnt</t>
  </si>
  <si>
    <t>usd_mnt_yoy</t>
  </si>
  <si>
    <t>usd_mnt_qoq</t>
  </si>
  <si>
    <t>usd_mnt_mom</t>
  </si>
  <si>
    <t>rate_pol</t>
  </si>
  <si>
    <t>rate_loan_mnt_new</t>
  </si>
  <si>
    <t>rate_timedepo_mnt_new</t>
  </si>
  <si>
    <t>ms_m2_yoy</t>
  </si>
  <si>
    <t>ms_m2_qoq</t>
  </si>
  <si>
    <t>ms_m2_mom</t>
  </si>
  <si>
    <t>ms_m2</t>
  </si>
  <si>
    <t>m2_gdp</t>
  </si>
  <si>
    <t>bank_ass_credit_nfi_yoy</t>
  </si>
  <si>
    <t>bank_ass_credit_nfi_qoq</t>
  </si>
  <si>
    <t>bank_ass_credit_nfi_mom</t>
  </si>
  <si>
    <t>loan_gdp</t>
  </si>
  <si>
    <t>dc_loan_ind_yoy</t>
  </si>
  <si>
    <t>dc_loan_ind_qoq</t>
  </si>
  <si>
    <t>dc_loan_ind_mom</t>
  </si>
  <si>
    <t>loan_ind_gdp</t>
  </si>
  <si>
    <t>dc_loan_corp_yoy</t>
  </si>
  <si>
    <t>dc_loan_corp_qoq</t>
  </si>
  <si>
    <t>dc_loan_corp_mom</t>
  </si>
  <si>
    <t>loan_corp_gdp</t>
  </si>
  <si>
    <t>gov_rev_cum_yoy</t>
  </si>
  <si>
    <t>gov_rev_cum</t>
  </si>
  <si>
    <t>rev_gdp</t>
  </si>
  <si>
    <t>gov_exp_cum_yoy</t>
  </si>
  <si>
    <t>gov_exp_cum</t>
  </si>
  <si>
    <t>exp_gdp</t>
  </si>
  <si>
    <t>ex_cum_yoy</t>
  </si>
  <si>
    <t>ex_cum</t>
  </si>
  <si>
    <t>ex_gdp</t>
  </si>
  <si>
    <t>im_cum_yoy</t>
  </si>
  <si>
    <t>im_cum</t>
  </si>
  <si>
    <t>im_gdp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</si>
  <si>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</si>
  <si>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</si>
  <si>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</si>
  <si>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</si>
  <si>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</si>
  <si>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</si>
  <si>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</si>
  <si>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</si>
  <si>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</si>
  <si>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</si>
  <si>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gdp_q1</t>
  </si>
  <si>
    <t>gdp_q2</t>
  </si>
  <si>
    <t>gdp_q3</t>
  </si>
  <si>
    <t>gdp_q4</t>
  </si>
  <si>
    <t>21Y</t>
  </si>
  <si>
    <t>22Y</t>
  </si>
  <si>
    <t>23M11</t>
  </si>
  <si>
    <t>Инфляци</t>
  </si>
  <si>
    <t>Ам.доллар</t>
  </si>
  <si>
    <t>Бодлогын хүү</t>
  </si>
  <si>
    <t>Хадгаламжийн хүү</t>
  </si>
  <si>
    <t>Зээлийн хүү</t>
  </si>
  <si>
    <t>Мөнгөний нийлүүлэлт</t>
  </si>
  <si>
    <t>Банкны зээл</t>
  </si>
  <si>
    <t>Банкны зээл /иргэд/</t>
  </si>
  <si>
    <t>Банкны зээл /ААН/</t>
  </si>
  <si>
    <t>Экспорт</t>
  </si>
  <si>
    <t>Импорт</t>
  </si>
  <si>
    <t>%, жилийн (YoY)</t>
  </si>
  <si>
    <t>%, улирлын (QoQ)</t>
  </si>
  <si>
    <t>%, сарын (MoM)</t>
  </si>
  <si>
    <t>%, жилийн</t>
  </si>
  <si>
    <t>%, шинэ, хуг-тай, банк</t>
  </si>
  <si>
    <t>%, шинэ, банк</t>
  </si>
  <si>
    <t>Дүн, их наяд төг.</t>
  </si>
  <si>
    <t>%, ДНБ харьцах</t>
  </si>
  <si>
    <t>Дүн, тэрбум ам.д</t>
  </si>
  <si>
    <t>23M12</t>
  </si>
  <si>
    <t>fx_reserve</t>
  </si>
  <si>
    <t>Валютын улсын нөөц</t>
  </si>
  <si>
    <t>cny_mnt</t>
  </si>
  <si>
    <t>cny_mnt_yoy</t>
  </si>
  <si>
    <t>cny_mnt_qoq</t>
  </si>
  <si>
    <t>cny_mnt_mom</t>
  </si>
  <si>
    <t>hh_inc</t>
  </si>
  <si>
    <t>hh_exp_inc</t>
  </si>
  <si>
    <t>hh_inc_yoy</t>
  </si>
  <si>
    <t>hh_exp_yoy</t>
  </si>
  <si>
    <t>Өрхийн дундаж орлого</t>
  </si>
  <si>
    <t>Өрхийн зарлага/орлого</t>
  </si>
  <si>
    <t>Өрхийн орлогын өсөлт</t>
  </si>
  <si>
    <t>Өрхийн зарлагын өсөлт</t>
  </si>
  <si>
    <t>сая төгрөг</t>
  </si>
  <si>
    <t>24M01</t>
  </si>
  <si>
    <t>24M02</t>
  </si>
  <si>
    <t>24M03</t>
  </si>
  <si>
    <t>24M04</t>
  </si>
  <si>
    <t>24M05</t>
  </si>
  <si>
    <t>24M06</t>
  </si>
  <si>
    <t>24M07</t>
  </si>
  <si>
    <t>24M08</t>
  </si>
  <si>
    <t>24M09</t>
  </si>
  <si>
    <t>24M10</t>
  </si>
  <si>
    <t>24M11</t>
  </si>
  <si>
    <t>24M12</t>
  </si>
  <si>
    <t>25M01</t>
  </si>
  <si>
    <t>23Q4</t>
  </si>
  <si>
    <t>24Q1</t>
  </si>
  <si>
    <t>24Q2</t>
  </si>
  <si>
    <t>24Q3</t>
  </si>
  <si>
    <t>24Q4</t>
  </si>
  <si>
    <t>23Y</t>
  </si>
  <si>
    <t>24Y</t>
  </si>
  <si>
    <t>Улсын төсвийн орлого</t>
  </si>
  <si>
    <t>Улсын төсвийн зарлага</t>
  </si>
  <si>
    <t>ex_coal_vol_cum</t>
  </si>
  <si>
    <t>ex_coal_cum</t>
  </si>
  <si>
    <t>ex_coal_p</t>
  </si>
  <si>
    <t>Нүүрсний экспорт</t>
  </si>
  <si>
    <t>Хятадын юань</t>
  </si>
  <si>
    <t>үнэ, ам.доллар</t>
  </si>
  <si>
    <t>Улсын төсвийн тэнцэл</t>
  </si>
  <si>
    <t>25M02</t>
  </si>
  <si>
    <t>Эдийн засгийн өсөлт</t>
  </si>
  <si>
    <t>Дүн, их наяд төг.**</t>
  </si>
  <si>
    <t>Дүн, тэрбум ам.д**</t>
  </si>
  <si>
    <t>дүн, тэрбум ам.доллар**</t>
  </si>
  <si>
    <t>хэмжээ, сая тн**</t>
  </si>
  <si>
    <t>* Төсөөлөл, **Оны эхнээс хуримтлагдсан дүн</t>
  </si>
  <si>
    <t>25M03</t>
  </si>
  <si>
    <t>25M04</t>
  </si>
  <si>
    <t>25Q1</t>
  </si>
  <si>
    <t>25M05</t>
  </si>
  <si>
    <t>25M06</t>
  </si>
  <si>
    <t>25Q2</t>
  </si>
  <si>
    <t>25M07</t>
  </si>
  <si>
    <t>GDP mnt</t>
  </si>
  <si>
    <t>GDP usd</t>
  </si>
  <si>
    <t>Макро эдийн засгийн нөхцөл байдал - 25M7</t>
  </si>
  <si>
    <t>25M08</t>
  </si>
  <si>
    <t>25M09</t>
  </si>
  <si>
    <t>25M10</t>
  </si>
  <si>
    <t>25Q3</t>
  </si>
  <si>
    <t>bank_ass_credit_nfi</t>
  </si>
  <si>
    <t>dc_loan_ind</t>
  </si>
  <si>
    <t>dc_loan_corp</t>
  </si>
  <si>
    <t>%, улирлын (QoQ @ar)</t>
  </si>
  <si>
    <t>Макро эдийн засгийн хүснэгт - 25Q3</t>
  </si>
  <si>
    <t>Эдийн засгийн өсөлт*</t>
  </si>
  <si>
    <t>* Оны эхнээс хуримтлагдсан, @ar - Улирлын өсөлтийг жилд шилжүүлсэн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</si>
</sst>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3" tint="-0.249977111117893"/>
      <name val="Arial"/>
      <family val="2"/>
    </font>
    <font>
      <b/>
      <sz val="12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sz val="10"/>
      <color theme="3" tint="-0.249977111117893"/>
      <name val="Arial"/>
      <family val="2"/>
    </font>
    <font>
      <b/>
      <sz val="20"/>
      <color theme="3" tint="-0.249977111117893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4" fillId="2" borderId="0" xfId="0" applyFont="1" applyFill="1"/>
    <xf numFmtId="164" fontId="4" fillId="0" borderId="0" xfId="1" applyNumberFormat="1" applyFont="1" applyBorder="1"/>
    <xf numFmtId="164" fontId="4" fillId="2" borderId="0" xfId="1" applyNumberFormat="1" applyFont="1" applyFill="1" applyBorder="1"/>
    <xf numFmtId="0" fontId="7" fillId="2" borderId="0" xfId="0" applyFont="1" applyFill="1"/>
    <xf numFmtId="0" fontId="4" fillId="2" borderId="2" xfId="0" applyFont="1" applyFill="1" applyBorder="1"/>
    <xf numFmtId="0" fontId="7" fillId="2" borderId="2" xfId="0" applyFont="1" applyFill="1" applyBorder="1"/>
    <xf numFmtId="164" fontId="4" fillId="0" borderId="2" xfId="1" applyNumberFormat="1" applyFont="1" applyBorder="1"/>
    <xf numFmtId="164" fontId="4" fillId="2" borderId="2" xfId="1" applyNumberFormat="1" applyFont="1" applyFill="1" applyBorder="1"/>
    <xf numFmtId="0" fontId="0" fillId="3" borderId="0" xfId="0" applyFill="1"/>
    <xf numFmtId="0" fontId="4" fillId="2" borderId="3" xfId="0" applyFont="1" applyFill="1" applyBorder="1"/>
    <xf numFmtId="164" fontId="4" fillId="0" borderId="3" xfId="1" applyNumberFormat="1" applyFont="1" applyBorder="1"/>
    <xf numFmtId="164" fontId="4" fillId="2" borderId="3" xfId="1" applyNumberFormat="1" applyFont="1" applyFill="1" applyBorder="1"/>
    <xf numFmtId="0" fontId="7" fillId="2" borderId="3" xfId="0" applyFont="1" applyFill="1" applyBorder="1"/>
    <xf numFmtId="0" fontId="3" fillId="0" borderId="0" xfId="0" applyFont="1"/>
    <xf numFmtId="0" fontId="4" fillId="2" borderId="4" xfId="0" applyFont="1" applyFill="1" applyBorder="1"/>
    <xf numFmtId="0" fontId="7" fillId="2" borderId="4" xfId="0" applyFont="1" applyFill="1" applyBorder="1"/>
    <xf numFmtId="164" fontId="4" fillId="0" borderId="4" xfId="1" applyNumberFormat="1" applyFont="1" applyBorder="1"/>
    <xf numFmtId="164" fontId="4" fillId="2" borderId="4" xfId="1" applyNumberFormat="1" applyFont="1" applyFill="1" applyBorder="1"/>
    <xf numFmtId="43" fontId="0" fillId="0" borderId="0" xfId="1" applyFont="1"/>
    <xf numFmtId="2" fontId="0" fillId="0" borderId="0" xfId="0" applyNumberFormat="1"/>
    <xf numFmtId="2" fontId="0" fillId="0" borderId="0" xfId="1" applyNumberFormat="1" applyFont="1"/>
    <xf numFmtId="164" fontId="4" fillId="2" borderId="5" xfId="1" applyNumberFormat="1" applyFont="1" applyFill="1" applyBorder="1"/>
    <xf numFmtId="43" fontId="0" fillId="4" borderId="0" xfId="1" applyFont="1" applyFill="1"/>
    <xf numFmtId="164" fontId="4" fillId="0" borderId="0" xfId="1" applyNumberFormat="1" applyFont="1" applyFill="1" applyBorder="1"/>
    <xf numFmtId="164" fontId="4" fillId="0" borderId="3" xfId="1" applyNumberFormat="1" applyFont="1" applyFill="1" applyBorder="1"/>
    <xf numFmtId="164" fontId="4" fillId="0" borderId="4" xfId="1" applyNumberFormat="1" applyFont="1" applyFill="1" applyBorder="1"/>
    <xf numFmtId="164" fontId="4" fillId="0" borderId="2" xfId="1" applyNumberFormat="1" applyFont="1" applyFill="1" applyBorder="1"/>
    <xf numFmtId="0" fontId="1" fillId="0" borderId="0" xfId="0" applyFont="1" applyAlignment="1">
      <alignment horizontal="center" vertical="top"/>
    </xf>
    <xf numFmtId="164" fontId="0" fillId="0" borderId="0" xfId="0" applyNumberFormat="1"/>
    <xf numFmtId="43" fontId="0" fillId="0" borderId="0" xfId="0" applyNumberFormat="1"/>
    <xf numFmtId="0" fontId="8" fillId="5" borderId="0" xfId="0" applyFont="1" applyFill="1" applyAlignment="1">
      <alignment horizontal="center"/>
    </xf>
    <xf numFmtId="2" fontId="10" fillId="4" borderId="0" xfId="0" applyNumberFormat="1" applyFont="1" applyFill="1"/>
    <xf numFmtId="2" fontId="10" fillId="0" borderId="0" xfId="1" applyNumberFormat="1" applyFont="1"/>
    <xf numFmtId="0" fontId="3" fillId="0" borderId="0" xfId="0" quotePrefix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1F93-6565-4E63-8B2A-17F0024B4A64}">
  <sheetPr>
    <pageSetUpPr fitToPage="1"/>
  </sheetPr>
  <dimension ref="B2:AF71"/>
  <sheetViews>
    <sheetView showGridLines="0" view="pageBreakPreview" zoomScale="55" zoomScaleNormal="85" zoomScaleSheetLayoutView="55" workbookViewId="0">
      <selection activeCell="Q56" sqref="Q56"/>
    </sheetView>
  </sheetViews>
  <sheetFormatPr defaultRowHeight="14.4" x14ac:dyDescent="0.3"/>
  <cols>
    <col min="2" max="2" width="30.44140625" customWidth="1"/>
    <col min="3" max="3" width="22.109375" customWidth="1"/>
    <col min="4" max="9" width="11.33203125" customWidth="1"/>
    <col min="10" max="10" width="12.33203125" customWidth="1"/>
    <col min="13" max="14" width="19.109375" bestFit="1" customWidth="1"/>
    <col min="15" max="15" width="18.6640625" bestFit="1" customWidth="1"/>
    <col min="16" max="17" width="19.109375" bestFit="1" customWidth="1"/>
  </cols>
  <sheetData>
    <row r="2" spans="2:23" ht="25.95" customHeight="1" x14ac:dyDescent="0.4">
      <c r="B2" s="37" t="s">
        <v>163</v>
      </c>
      <c r="C2" s="37"/>
      <c r="D2" s="37"/>
      <c r="E2" s="37"/>
      <c r="F2" s="37"/>
      <c r="G2" s="37"/>
      <c r="H2" s="37"/>
      <c r="I2" s="37"/>
      <c r="J2" s="37"/>
    </row>
    <row r="3" spans="2:23" x14ac:dyDescent="0.3">
      <c r="M3" s="2" t="s">
        <v>67</v>
      </c>
      <c r="N3" s="2" t="s">
        <v>71</v>
      </c>
      <c r="O3" s="2" t="s">
        <v>131</v>
      </c>
      <c r="P3" s="2" t="s">
        <v>135</v>
      </c>
      <c r="Q3" s="2" t="s">
        <v>156</v>
      </c>
      <c r="R3" s="2" t="s">
        <v>159</v>
      </c>
      <c r="S3" s="2" t="s">
        <v>167</v>
      </c>
      <c r="T3" s="2"/>
    </row>
    <row r="4" spans="2:23" ht="15.6" x14ac:dyDescent="0.3">
      <c r="B4" s="3"/>
      <c r="C4" s="3"/>
      <c r="D4" s="4" t="s">
        <v>79</v>
      </c>
      <c r="E4" s="4" t="s">
        <v>80</v>
      </c>
      <c r="F4" s="4" t="s">
        <v>136</v>
      </c>
      <c r="G4" s="4" t="s">
        <v>137</v>
      </c>
      <c r="H4" s="5" t="s">
        <v>156</v>
      </c>
      <c r="I4" s="5" t="s">
        <v>159</v>
      </c>
      <c r="J4" s="5" t="s">
        <v>167</v>
      </c>
      <c r="M4" s="2" t="s">
        <v>3</v>
      </c>
      <c r="N4" s="2" t="s">
        <v>15</v>
      </c>
      <c r="O4" s="2" t="s">
        <v>102</v>
      </c>
      <c r="P4" s="2" t="s">
        <v>129</v>
      </c>
      <c r="Q4" s="2" t="s">
        <v>154</v>
      </c>
      <c r="R4" s="2" t="s">
        <v>158</v>
      </c>
      <c r="S4" s="2" t="s">
        <v>165</v>
      </c>
      <c r="T4" s="2"/>
      <c r="U4" s="1" t="s">
        <v>154</v>
      </c>
      <c r="V4" s="1" t="s">
        <v>158</v>
      </c>
      <c r="W4" s="1" t="s">
        <v>160</v>
      </c>
    </row>
    <row r="5" spans="2:23" ht="9.6" customHeight="1" x14ac:dyDescent="0.3">
      <c r="B5" s="6"/>
      <c r="C5" s="6"/>
      <c r="D5" s="3"/>
      <c r="E5" s="3"/>
      <c r="F5" s="3"/>
      <c r="G5" s="3"/>
      <c r="H5" s="7"/>
      <c r="I5" s="7"/>
      <c r="J5" s="7"/>
      <c r="U5" s="34"/>
      <c r="V5" s="34"/>
    </row>
    <row r="6" spans="2:23" ht="15.6" x14ac:dyDescent="0.3">
      <c r="B6" s="7" t="s">
        <v>82</v>
      </c>
      <c r="C6" s="10" t="s">
        <v>93</v>
      </c>
      <c r="D6" s="8">
        <f t="shared" ref="D6:J21" si="0">M6</f>
        <v>13.82666239122111</v>
      </c>
      <c r="E6" s="8">
        <f t="shared" si="0"/>
        <v>13.243298123844699</v>
      </c>
      <c r="F6" s="8">
        <f t="shared" si="0"/>
        <v>7.9239441073877162</v>
      </c>
      <c r="G6" s="30">
        <f t="shared" si="0"/>
        <v>8.3598213391466789</v>
      </c>
      <c r="H6" s="9">
        <f t="shared" si="0"/>
        <v>9.1020943294783567</v>
      </c>
      <c r="I6" s="9">
        <f t="shared" si="0"/>
        <v>8.1863350175044101</v>
      </c>
      <c r="J6" s="9">
        <f t="shared" si="0"/>
        <v>9.0299816704657072</v>
      </c>
      <c r="L6" s="1" t="s">
        <v>26</v>
      </c>
      <c r="M6" s="26">
        <f>INDEX(m!$B$2:$AX$50,MATCH('table (2)'!$L6,m!$A$2:$A$50,0),MATCH('table (2)'!M$4,m!$B$1:$AX$1,0))</f>
        <v>13.82666239122111</v>
      </c>
      <c r="N6" s="26">
        <f>INDEX(m!$B$2:$AX$50,MATCH('table (2)'!$L6,m!$A$2:$A$50,0),MATCH('table (2)'!N$4,m!$B$1:$AX$1,0))</f>
        <v>13.243298123844699</v>
      </c>
      <c r="O6" s="26">
        <f>INDEX(m!$B$2:$AX$50,MATCH('table (2)'!$L6,m!$A$2:$A$50,0),MATCH('table (2)'!O$4,m!$B$1:$AX$1,0))</f>
        <v>7.9239441073877162</v>
      </c>
      <c r="P6" s="26">
        <f>INDEX(m!$B$2:$AX$50,MATCH('table (2)'!$L6,m!$A$2:$A$50,0),MATCH('table (2)'!P$4,m!$B$1:$AX$1,0))</f>
        <v>8.3598213391466789</v>
      </c>
      <c r="Q6" s="26">
        <f>INDEX(m!$B$2:$AX$50,MATCH('table (2)'!$L6,m!$A$2:$A$50,0),MATCH('table (2)'!Q$4,m!$B$1:$AX$1,0))</f>
        <v>9.1020943294783567</v>
      </c>
      <c r="R6" s="26">
        <f>INDEX(m!$B$2:$AX$50,MATCH('table (2)'!$L6,m!$A$2:$A$50,0),MATCH('table (2)'!R$4,m!$B$1:$AX$1,0))</f>
        <v>8.1863350175044101</v>
      </c>
      <c r="S6" s="26">
        <f>INDEX(m!$B$2:$AZ$50,MATCH('table (2)'!$L6,m!$A$2:$A$50,0),MATCH('table (2)'!S$4,m!$B$1:$AZ$1,0))</f>
        <v>9.0299816704657072</v>
      </c>
      <c r="T6" s="26"/>
      <c r="U6">
        <v>9.1020943294783567</v>
      </c>
      <c r="V6">
        <v>8.1863350175044101</v>
      </c>
      <c r="W6">
        <v>8.0997477914135168</v>
      </c>
    </row>
    <row r="7" spans="2:23" ht="15.6" hidden="1" x14ac:dyDescent="0.3">
      <c r="B7" s="7"/>
      <c r="C7" s="10" t="s">
        <v>94</v>
      </c>
      <c r="D7" s="8"/>
      <c r="E7" s="8"/>
      <c r="F7" s="8"/>
      <c r="G7" s="30"/>
      <c r="H7" s="9"/>
      <c r="I7" s="9">
        <f t="shared" si="0"/>
        <v>3.1141627045329541</v>
      </c>
      <c r="J7" s="9">
        <f t="shared" si="0"/>
        <v>7.0592548599146649</v>
      </c>
      <c r="L7" s="1" t="s">
        <v>27</v>
      </c>
      <c r="M7" s="26">
        <f>INDEX(m!$B$2:$AX$50,MATCH('table (2)'!$L7,m!$A$2:$A$50,0),MATCH('table (2)'!M$4,m!$B$1:$AX$1,0))</f>
        <v>15.68322492583043</v>
      </c>
      <c r="N7" s="26">
        <f>INDEX(m!$B$2:$AX$50,MATCH('table (2)'!$L7,m!$A$2:$A$50,0),MATCH('table (2)'!N$4,m!$B$1:$AX$1,0))</f>
        <v>13.5517797193893</v>
      </c>
      <c r="O7" s="26">
        <f>INDEX(m!$B$2:$AX$50,MATCH('table (2)'!$L7,m!$A$2:$A$50,0),MATCH('table (2)'!O$4,m!$B$1:$AX$1,0))</f>
        <v>5.5238011319374207</v>
      </c>
      <c r="P7" s="26">
        <f>INDEX(m!$B$2:$AX$50,MATCH('table (2)'!$L7,m!$A$2:$A$50,0),MATCH('table (2)'!P$4,m!$B$1:$AX$1,0))</f>
        <v>13.26345409634648</v>
      </c>
      <c r="Q7" s="26">
        <f>INDEX(m!$B$2:$AX$50,MATCH('table (2)'!$L7,m!$A$2:$A$50,0),MATCH('table (2)'!Q$4,m!$B$1:$AX$1,0))</f>
        <v>11.59795968841089</v>
      </c>
      <c r="R7" s="26">
        <f>INDEX(m!$B$2:$AX$50,MATCH('table (2)'!$L7,m!$A$2:$A$50,0),MATCH('table (2)'!R$4,m!$B$1:$AX$1,0))</f>
        <v>3.1141627045329541</v>
      </c>
      <c r="S7" s="26">
        <f>INDEX(m!$B$2:$AZ$50,MATCH('table (2)'!$L7,m!$A$2:$A$50,0),MATCH('table (2)'!S$4,m!$B$1:$AZ$1,0))</f>
        <v>7.0592548599146649</v>
      </c>
      <c r="T7" s="26"/>
      <c r="U7">
        <v>2.8994899221027222</v>
      </c>
      <c r="V7">
        <v>0.77854067613323852</v>
      </c>
      <c r="W7">
        <v>0.39314572829778388</v>
      </c>
    </row>
    <row r="8" spans="2:23" ht="15.6" x14ac:dyDescent="0.3">
      <c r="B8" s="16"/>
      <c r="C8" s="19" t="s">
        <v>94</v>
      </c>
      <c r="D8" s="17"/>
      <c r="E8" s="17"/>
      <c r="F8" s="17"/>
      <c r="G8" s="31"/>
      <c r="H8" s="18">
        <f>Q8</f>
        <v>11.59795968841089</v>
      </c>
      <c r="I8" s="18">
        <f t="shared" si="0"/>
        <v>3.1141627045329541</v>
      </c>
      <c r="J8" s="18">
        <f t="shared" si="0"/>
        <v>7.0592548599146649</v>
      </c>
      <c r="L8" s="1" t="s">
        <v>27</v>
      </c>
      <c r="M8" s="26">
        <f>INDEX(m!$B$2:$AX$50,MATCH('table (2)'!$L8,m!$A$2:$A$50,0),MATCH('table (2)'!M$4,m!$B$1:$AX$1,0))</f>
        <v>15.68322492583043</v>
      </c>
      <c r="N8" s="26">
        <f>INDEX(m!$B$2:$AX$50,MATCH('table (2)'!$L8,m!$A$2:$A$50,0),MATCH('table (2)'!N$4,m!$B$1:$AX$1,0))</f>
        <v>13.5517797193893</v>
      </c>
      <c r="O8" s="26">
        <f>INDEX(m!$B$2:$AX$50,MATCH('table (2)'!$L8,m!$A$2:$A$50,0),MATCH('table (2)'!O$4,m!$B$1:$AX$1,0))</f>
        <v>5.5238011319374207</v>
      </c>
      <c r="P8" s="26">
        <f>INDEX(m!$B$2:$AX$50,MATCH('table (2)'!$L8,m!$A$2:$A$50,0),MATCH('table (2)'!P$4,m!$B$1:$AX$1,0))</f>
        <v>13.26345409634648</v>
      </c>
      <c r="Q8" s="26">
        <f>INDEX(m!$B$2:$AX$50,MATCH('table (2)'!$L8,m!$A$2:$A$50,0),MATCH('table (2)'!Q$4,m!$B$1:$AX$1,0))</f>
        <v>11.59795968841089</v>
      </c>
      <c r="R8" s="26">
        <f>INDEX(m!$B$2:$AX$50,MATCH('table (2)'!$L8,m!$A$2:$A$50,0),MATCH('table (2)'!R$4,m!$B$1:$AX$1,0))</f>
        <v>3.1141627045329541</v>
      </c>
      <c r="S8" s="26">
        <f>INDEX(m!$B$2:$AZ$50,MATCH('table (2)'!$L8,m!$A$2:$A$50,0),MATCH('table (2)'!S$4,m!$B$1:$AZ$1,0))</f>
        <v>7.0592548599146649</v>
      </c>
      <c r="T8" s="26"/>
      <c r="U8">
        <v>0.34988316068086112</v>
      </c>
      <c r="V8">
        <v>0.23000864738408441</v>
      </c>
      <c r="W8">
        <v>-5.0507483451935273E-2</v>
      </c>
    </row>
    <row r="9" spans="2:23" ht="15.6" x14ac:dyDescent="0.3">
      <c r="B9" s="7" t="s">
        <v>83</v>
      </c>
      <c r="C9" s="10"/>
      <c r="D9" s="8">
        <f>M9</f>
        <v>2849.34</v>
      </c>
      <c r="E9" s="8">
        <f t="shared" ref="E9:G10" si="1">N9</f>
        <v>3444.6</v>
      </c>
      <c r="F9" s="8">
        <f t="shared" si="1"/>
        <v>3410.69</v>
      </c>
      <c r="G9" s="30">
        <f t="shared" si="1"/>
        <v>3420.46</v>
      </c>
      <c r="H9" s="9">
        <f>Q9</f>
        <v>3487.61</v>
      </c>
      <c r="I9" s="9">
        <f t="shared" si="0"/>
        <v>3580.94</v>
      </c>
      <c r="J9" s="9">
        <f t="shared" si="0"/>
        <v>3594.64</v>
      </c>
      <c r="L9" s="1" t="s">
        <v>29</v>
      </c>
      <c r="M9" s="26">
        <f>INDEX(m!$B$2:$AX$50,MATCH('table (2)'!$L9,m!$A$2:$A$50,0),MATCH('table (2)'!M$4,m!$B$1:$AX$1,0))</f>
        <v>2849.34</v>
      </c>
      <c r="N9" s="26">
        <f>INDEX(m!$B$2:$AX$50,MATCH('table (2)'!$L9,m!$A$2:$A$50,0),MATCH('table (2)'!N$4,m!$B$1:$AX$1,0))</f>
        <v>3444.6</v>
      </c>
      <c r="O9" s="26">
        <f>INDEX(m!$B$2:$AX$50,MATCH('table (2)'!$L9,m!$A$2:$A$50,0),MATCH('table (2)'!O$4,m!$B$1:$AX$1,0))</f>
        <v>3410.69</v>
      </c>
      <c r="P9" s="26">
        <f>INDEX(m!$B$2:$AX$50,MATCH('table (2)'!$L9,m!$A$2:$A$50,0),MATCH('table (2)'!P$4,m!$B$1:$AX$1,0))</f>
        <v>3420.46</v>
      </c>
      <c r="Q9" s="26">
        <f>INDEX(m!$B$2:$AX$50,MATCH('table (2)'!$L9,m!$A$2:$A$50,0),MATCH('table (2)'!Q$4,m!$B$1:$AX$1,0))</f>
        <v>3487.61</v>
      </c>
      <c r="R9" s="26">
        <f>INDEX(m!$B$2:$AX$50,MATCH('table (2)'!$L9,m!$A$2:$A$50,0),MATCH('table (2)'!R$4,m!$B$1:$AX$1,0))</f>
        <v>3580.94</v>
      </c>
      <c r="S9" s="26">
        <f>INDEX(m!$B$2:$AZ$50,MATCH('table (2)'!$L9,m!$A$2:$A$50,0),MATCH('table (2)'!S$4,m!$B$1:$AZ$1,0))</f>
        <v>3594.64</v>
      </c>
      <c r="T9" s="26"/>
      <c r="U9">
        <v>3487.61</v>
      </c>
      <c r="V9">
        <v>3580.94</v>
      </c>
      <c r="W9">
        <v>3587.49</v>
      </c>
    </row>
    <row r="10" spans="2:23" ht="15.6" x14ac:dyDescent="0.3">
      <c r="B10" s="7"/>
      <c r="C10" s="10" t="s">
        <v>93</v>
      </c>
      <c r="D10" s="8">
        <f>M10</f>
        <v>-1.9298990487342571E-2</v>
      </c>
      <c r="E10" s="8">
        <f t="shared" si="1"/>
        <v>20.891153740866301</v>
      </c>
      <c r="F10" s="8">
        <f t="shared" si="1"/>
        <v>-0.98443941241362876</v>
      </c>
      <c r="G10" s="30">
        <f t="shared" si="1"/>
        <v>0.28645230144047051</v>
      </c>
      <c r="H10" s="9">
        <f>Q10</f>
        <v>3.3062894143643899</v>
      </c>
      <c r="I10" s="9">
        <f t="shared" si="0"/>
        <v>5.9120687360435316</v>
      </c>
      <c r="J10" s="9">
        <f t="shared" si="0"/>
        <v>6.3210418435164302</v>
      </c>
      <c r="L10" s="1" t="s">
        <v>30</v>
      </c>
      <c r="M10" s="26">
        <f>INDEX(m!$B$2:$AX$50,MATCH('table (2)'!$L10,m!$A$2:$A$50,0),MATCH('table (2)'!M$4,m!$B$1:$AX$1,0))</f>
        <v>-1.9298990487342571E-2</v>
      </c>
      <c r="N10" s="26">
        <f>INDEX(m!$B$2:$AX$50,MATCH('table (2)'!$L10,m!$A$2:$A$50,0),MATCH('table (2)'!N$4,m!$B$1:$AX$1,0))</f>
        <v>20.891153740866301</v>
      </c>
      <c r="O10" s="26">
        <f>INDEX(m!$B$2:$AX$50,MATCH('table (2)'!$L10,m!$A$2:$A$50,0),MATCH('table (2)'!O$4,m!$B$1:$AX$1,0))</f>
        <v>-0.98443941241362876</v>
      </c>
      <c r="P10" s="26">
        <f>INDEX(m!$B$2:$AX$50,MATCH('table (2)'!$L10,m!$A$2:$A$50,0),MATCH('table (2)'!P$4,m!$B$1:$AX$1,0))</f>
        <v>0.28645230144047051</v>
      </c>
      <c r="Q10" s="26">
        <f>INDEX(m!$B$2:$AX$50,MATCH('table (2)'!$L10,m!$A$2:$A$50,0),MATCH('table (2)'!Q$4,m!$B$1:$AX$1,0))</f>
        <v>3.3062894143643899</v>
      </c>
      <c r="R10" s="26">
        <f>INDEX(m!$B$2:$AX$50,MATCH('table (2)'!$L10,m!$A$2:$A$50,0),MATCH('table (2)'!R$4,m!$B$1:$AX$1,0))</f>
        <v>5.9120687360435316</v>
      </c>
      <c r="S10" s="26">
        <f>INDEX(m!$B$2:$AZ$50,MATCH('table (2)'!$L10,m!$A$2:$A$50,0),MATCH('table (2)'!S$4,m!$B$1:$AZ$1,0))</f>
        <v>6.3210418435164302</v>
      </c>
      <c r="T10" s="26"/>
      <c r="U10">
        <v>3.3062894143643899</v>
      </c>
      <c r="V10">
        <v>5.9120687360435316</v>
      </c>
      <c r="W10">
        <v>6.11332787113147</v>
      </c>
    </row>
    <row r="11" spans="2:23" ht="15.6" hidden="1" x14ac:dyDescent="0.3">
      <c r="B11" s="7"/>
      <c r="C11" s="10" t="s">
        <v>94</v>
      </c>
      <c r="D11" s="8"/>
      <c r="E11" s="8"/>
      <c r="F11" s="8"/>
      <c r="G11" s="30"/>
      <c r="H11" s="9"/>
      <c r="I11" s="9">
        <f t="shared" si="0"/>
        <v>10.704178506197641</v>
      </c>
      <c r="J11" s="9">
        <f t="shared" si="0"/>
        <v>1.530324439951501</v>
      </c>
      <c r="L11" s="1" t="s">
        <v>31</v>
      </c>
      <c r="M11" s="26">
        <f>INDEX(m!$B$2:$AX$50,MATCH('table (2)'!$L11,m!$A$2:$A$50,0),MATCH('table (2)'!M$4,m!$B$1:$AX$1,0))</f>
        <v>1.965463989896496E-2</v>
      </c>
      <c r="N11" s="26">
        <f>INDEX(m!$B$2:$AX$50,MATCH('table (2)'!$L11,m!$A$2:$A$50,0),MATCH('table (2)'!N$4,m!$B$1:$AX$1,0))</f>
        <v>13.390858740721621</v>
      </c>
      <c r="O11" s="26">
        <f>INDEX(m!$B$2:$AX$50,MATCH('table (2)'!$L11,m!$A$2:$A$50,0),MATCH('table (2)'!O$4,m!$B$1:$AX$1,0))</f>
        <v>-5.6435901141783429</v>
      </c>
      <c r="P11" s="26">
        <f>INDEX(m!$B$2:$AX$50,MATCH('table (2)'!$L11,m!$A$2:$A$50,0),MATCH('table (2)'!P$4,m!$B$1:$AX$1,0))</f>
        <v>4.6768196916233347</v>
      </c>
      <c r="Q11" s="26">
        <f>INDEX(m!$B$2:$AX$50,MATCH('table (2)'!$L11,m!$A$2:$A$50,0),MATCH('table (2)'!Q$4,m!$B$1:$AX$1,0))</f>
        <v>7.8527449524333086</v>
      </c>
      <c r="R11" s="26">
        <f>INDEX(m!$B$2:$AX$50,MATCH('table (2)'!$L11,m!$A$2:$A$50,0),MATCH('table (2)'!R$4,m!$B$1:$AX$1,0))</f>
        <v>10.704178506197641</v>
      </c>
      <c r="S11" s="26">
        <f>INDEX(m!$B$2:$AZ$50,MATCH('table (2)'!$L11,m!$A$2:$A$50,0),MATCH('table (2)'!S$4,m!$B$1:$AZ$1,0))</f>
        <v>1.530324439951501</v>
      </c>
      <c r="T11" s="26"/>
      <c r="U11">
        <v>1.9631862381083269</v>
      </c>
      <c r="V11">
        <v>2.6760446265494111</v>
      </c>
      <c r="W11">
        <v>0.46683954945921707</v>
      </c>
    </row>
    <row r="12" spans="2:23" ht="15.6" x14ac:dyDescent="0.3">
      <c r="B12" s="16"/>
      <c r="C12" s="19" t="s">
        <v>94</v>
      </c>
      <c r="D12" s="17"/>
      <c r="E12" s="17"/>
      <c r="F12" s="17"/>
      <c r="G12" s="31"/>
      <c r="H12" s="18">
        <f>Q12</f>
        <v>7.8527449524333086</v>
      </c>
      <c r="I12" s="18">
        <f t="shared" si="0"/>
        <v>10.704178506197641</v>
      </c>
      <c r="J12" s="18">
        <f t="shared" si="0"/>
        <v>1.530324439951501</v>
      </c>
      <c r="L12" s="1" t="s">
        <v>31</v>
      </c>
      <c r="M12" s="26">
        <f>INDEX(m!$B$2:$AX$50,MATCH('table (2)'!$L12,m!$A$2:$A$50,0),MATCH('table (2)'!M$4,m!$B$1:$AX$1,0))</f>
        <v>1.965463989896496E-2</v>
      </c>
      <c r="N12" s="26">
        <f>INDEX(m!$B$2:$AX$50,MATCH('table (2)'!$L12,m!$A$2:$A$50,0),MATCH('table (2)'!N$4,m!$B$1:$AX$1,0))</f>
        <v>13.390858740721621</v>
      </c>
      <c r="O12" s="26">
        <f>INDEX(m!$B$2:$AX$50,MATCH('table (2)'!$L12,m!$A$2:$A$50,0),MATCH('table (2)'!O$4,m!$B$1:$AX$1,0))</f>
        <v>-5.6435901141783429</v>
      </c>
      <c r="P12" s="26">
        <f>INDEX(m!$B$2:$AX$50,MATCH('table (2)'!$L12,m!$A$2:$A$50,0),MATCH('table (2)'!P$4,m!$B$1:$AX$1,0))</f>
        <v>4.6768196916233347</v>
      </c>
      <c r="Q12" s="26">
        <f>INDEX(m!$B$2:$AX$50,MATCH('table (2)'!$L12,m!$A$2:$A$50,0),MATCH('table (2)'!Q$4,m!$B$1:$AX$1,0))</f>
        <v>7.8527449524333086</v>
      </c>
      <c r="R12" s="26">
        <f>INDEX(m!$B$2:$AX$50,MATCH('table (2)'!$L12,m!$A$2:$A$50,0),MATCH('table (2)'!R$4,m!$B$1:$AX$1,0))</f>
        <v>10.704178506197641</v>
      </c>
      <c r="S12" s="26">
        <f>INDEX(m!$B$2:$AZ$50,MATCH('table (2)'!$L12,m!$A$2:$A$50,0),MATCH('table (2)'!S$4,m!$B$1:$AZ$1,0))</f>
        <v>1.530324439951501</v>
      </c>
      <c r="T12" s="26"/>
      <c r="U12">
        <v>0.60723022246838887</v>
      </c>
      <c r="V12">
        <v>0.19558191916507611</v>
      </c>
      <c r="W12">
        <v>0.18291286645405189</v>
      </c>
    </row>
    <row r="13" spans="2:23" ht="15.6" x14ac:dyDescent="0.3">
      <c r="B13" s="7" t="s">
        <v>144</v>
      </c>
      <c r="C13" s="10"/>
      <c r="D13" s="8">
        <f>M13</f>
        <v>446.96</v>
      </c>
      <c r="E13" s="8">
        <f t="shared" ref="E13:G14" si="2">N13</f>
        <v>495.4</v>
      </c>
      <c r="F13" s="8">
        <f t="shared" si="2"/>
        <v>480.01</v>
      </c>
      <c r="G13" s="30">
        <f t="shared" si="2"/>
        <v>468.6</v>
      </c>
      <c r="H13" s="9">
        <f>Q13</f>
        <v>480.91</v>
      </c>
      <c r="I13" s="9">
        <f t="shared" si="0"/>
        <v>499.76</v>
      </c>
      <c r="J13" s="9">
        <f t="shared" si="0"/>
        <v>505.01</v>
      </c>
      <c r="L13" s="1" t="s">
        <v>105</v>
      </c>
      <c r="M13" s="26">
        <f>INDEX(m!$B$2:$AX$50,MATCH('table (2)'!$L13,m!$A$2:$A$50,0),MATCH('table (2)'!M$4,m!$B$1:$AX$1,0))</f>
        <v>446.96</v>
      </c>
      <c r="N13" s="26">
        <f>INDEX(m!$B$2:$AX$50,MATCH('table (2)'!$L13,m!$A$2:$A$50,0),MATCH('table (2)'!N$4,m!$B$1:$AX$1,0))</f>
        <v>495.4</v>
      </c>
      <c r="O13" s="26">
        <f>INDEX(m!$B$2:$AX$50,MATCH('table (2)'!$L13,m!$A$2:$A$50,0),MATCH('table (2)'!O$4,m!$B$1:$AX$1,0))</f>
        <v>480.01</v>
      </c>
      <c r="P13" s="26">
        <f>INDEX(m!$B$2:$AX$50,MATCH('table (2)'!$L13,m!$A$2:$A$50,0),MATCH('table (2)'!P$4,m!$B$1:$AX$1,0))</f>
        <v>468.6</v>
      </c>
      <c r="Q13" s="26">
        <f>INDEX(m!$B$2:$AX$50,MATCH('table (2)'!$L13,m!$A$2:$A$50,0),MATCH('table (2)'!Q$4,m!$B$1:$AX$1,0))</f>
        <v>480.91</v>
      </c>
      <c r="R13" s="26">
        <f>INDEX(m!$B$2:$AX$50,MATCH('table (2)'!$L13,m!$A$2:$A$50,0),MATCH('table (2)'!R$4,m!$B$1:$AX$1,0))</f>
        <v>499.76</v>
      </c>
      <c r="S13" s="26">
        <f>INDEX(m!$B$2:$AZ$50,MATCH('table (2)'!$L13,m!$A$2:$A$50,0),MATCH('table (2)'!S$4,m!$B$1:$AZ$1,0))</f>
        <v>505.01</v>
      </c>
      <c r="T13" s="26"/>
      <c r="U13">
        <v>480.91</v>
      </c>
      <c r="V13">
        <v>499.76</v>
      </c>
      <c r="W13">
        <v>498.81</v>
      </c>
    </row>
    <row r="14" spans="2:23" ht="15.6" x14ac:dyDescent="0.3">
      <c r="B14" s="7"/>
      <c r="C14" s="10" t="s">
        <v>93</v>
      </c>
      <c r="D14" s="8">
        <f>M14</f>
        <v>2.4597116200169551</v>
      </c>
      <c r="E14" s="8">
        <f t="shared" si="2"/>
        <v>10.837658850903891</v>
      </c>
      <c r="F14" s="8">
        <f t="shared" si="2"/>
        <v>-3.106580540976986</v>
      </c>
      <c r="G14" s="30">
        <f t="shared" si="2"/>
        <v>-2.3770338117955809</v>
      </c>
      <c r="H14" s="9">
        <f>Q14</f>
        <v>2.9102736941216798</v>
      </c>
      <c r="I14" s="9">
        <f t="shared" si="0"/>
        <v>7.4429204110590366</v>
      </c>
      <c r="J14" s="9">
        <f t="shared" si="0"/>
        <v>4.7521261149139118</v>
      </c>
      <c r="L14" s="1" t="s">
        <v>106</v>
      </c>
      <c r="M14" s="26">
        <f>INDEX(m!$B$2:$AX$50,MATCH('table (2)'!$L14,m!$A$2:$A$50,0),MATCH('table (2)'!M$4,m!$B$1:$AX$1,0))</f>
        <v>2.4597116200169551</v>
      </c>
      <c r="N14" s="26">
        <f>INDEX(m!$B$2:$AX$50,MATCH('table (2)'!$L14,m!$A$2:$A$50,0),MATCH('table (2)'!N$4,m!$B$1:$AX$1,0))</f>
        <v>10.837658850903891</v>
      </c>
      <c r="O14" s="26">
        <f>INDEX(m!$B$2:$AX$50,MATCH('table (2)'!$L14,m!$A$2:$A$50,0),MATCH('table (2)'!O$4,m!$B$1:$AX$1,0))</f>
        <v>-3.106580540976986</v>
      </c>
      <c r="P14" s="26">
        <f>INDEX(m!$B$2:$AX$50,MATCH('table (2)'!$L14,m!$A$2:$A$50,0),MATCH('table (2)'!P$4,m!$B$1:$AX$1,0))</f>
        <v>-2.3770338117955809</v>
      </c>
      <c r="Q14" s="26">
        <f>INDEX(m!$B$2:$AX$50,MATCH('table (2)'!$L14,m!$A$2:$A$50,0),MATCH('table (2)'!Q$4,m!$B$1:$AX$1,0))</f>
        <v>2.9102736941216798</v>
      </c>
      <c r="R14" s="26">
        <f>INDEX(m!$B$2:$AX$50,MATCH('table (2)'!$L14,m!$A$2:$A$50,0),MATCH('table (2)'!R$4,m!$B$1:$AX$1,0))</f>
        <v>7.4429204110590366</v>
      </c>
      <c r="S14" s="26">
        <f>INDEX(m!$B$2:$AZ$50,MATCH('table (2)'!$L14,m!$A$2:$A$50,0),MATCH('table (2)'!S$4,m!$B$1:$AZ$1,0))</f>
        <v>4.7521261149139118</v>
      </c>
      <c r="T14" s="26"/>
      <c r="U14">
        <v>2.9102736941216798</v>
      </c>
      <c r="V14">
        <v>7.4429204110590366</v>
      </c>
      <c r="W14">
        <v>6.553735073590671</v>
      </c>
    </row>
    <row r="15" spans="2:23" ht="15.6" hidden="1" x14ac:dyDescent="0.3">
      <c r="B15" s="7"/>
      <c r="C15" s="10" t="s">
        <v>94</v>
      </c>
      <c r="D15" s="8"/>
      <c r="E15" s="8"/>
      <c r="F15" s="8"/>
      <c r="G15" s="30"/>
      <c r="H15" s="9"/>
      <c r="I15" s="9">
        <f t="shared" si="0"/>
        <v>15.678609303195991</v>
      </c>
      <c r="J15" s="9">
        <f t="shared" si="0"/>
        <v>4.2020169681447097</v>
      </c>
      <c r="L15" s="1" t="s">
        <v>107</v>
      </c>
      <c r="M15" s="26">
        <f>INDEX(m!$B$2:$AX$50,MATCH('table (2)'!$L15,m!$A$2:$A$50,0),MATCH('table (2)'!M$4,m!$B$1:$AX$1,0))</f>
        <v>5.5898366606170304</v>
      </c>
      <c r="N15" s="26">
        <f>INDEX(m!$B$2:$AX$50,MATCH('table (2)'!$L15,m!$A$2:$A$50,0),MATCH('table (2)'!N$4,m!$B$1:$AX$1,0))</f>
        <v>28.407739703815771</v>
      </c>
      <c r="O15" s="26">
        <f>INDEX(m!$B$2:$AX$50,MATCH('table (2)'!$L15,m!$A$2:$A$50,0),MATCH('table (2)'!O$4,m!$B$1:$AX$1,0))</f>
        <v>5.2341655938034144</v>
      </c>
      <c r="P15" s="26">
        <f>INDEX(m!$B$2:$AX$50,MATCH('table (2)'!$L15,m!$A$2:$A$50,0),MATCH('table (2)'!P$4,m!$B$1:$AX$1,0))</f>
        <v>-11.200995644057249</v>
      </c>
      <c r="Q15" s="26">
        <f>INDEX(m!$B$2:$AX$50,MATCH('table (2)'!$L15,m!$A$2:$A$50,0),MATCH('table (2)'!Q$4,m!$B$1:$AX$1,0))</f>
        <v>10.50789586000854</v>
      </c>
      <c r="R15" s="26">
        <f>INDEX(m!$B$2:$AX$50,MATCH('table (2)'!$L15,m!$A$2:$A$50,0),MATCH('table (2)'!R$4,m!$B$1:$AX$1,0))</f>
        <v>15.678609303195991</v>
      </c>
      <c r="S15" s="26">
        <f>INDEX(m!$B$2:$AZ$50,MATCH('table (2)'!$L15,m!$A$2:$A$50,0),MATCH('table (2)'!S$4,m!$B$1:$AZ$1,0))</f>
        <v>4.2020169681447097</v>
      </c>
      <c r="T15" s="26"/>
      <c r="U15">
        <v>2.6269739650021342</v>
      </c>
      <c r="V15">
        <v>3.919652325798999</v>
      </c>
      <c r="W15">
        <v>1.470767728548765</v>
      </c>
    </row>
    <row r="16" spans="2:23" ht="15.6" x14ac:dyDescent="0.3">
      <c r="B16" s="16"/>
      <c r="C16" s="19" t="s">
        <v>94</v>
      </c>
      <c r="D16" s="17"/>
      <c r="E16" s="17"/>
      <c r="F16" s="17"/>
      <c r="G16" s="31"/>
      <c r="H16" s="18">
        <f>Q16</f>
        <v>10.50789586000854</v>
      </c>
      <c r="I16" s="18">
        <f t="shared" si="0"/>
        <v>15.678609303195991</v>
      </c>
      <c r="J16" s="18">
        <f t="shared" si="0"/>
        <v>4.2020169681447097</v>
      </c>
      <c r="L16" s="1" t="s">
        <v>107</v>
      </c>
      <c r="M16" s="26">
        <f>INDEX(m!$B$2:$AX$50,MATCH('table (2)'!$L16,m!$A$2:$A$50,0),MATCH('table (2)'!M$4,m!$B$1:$AX$1,0))</f>
        <v>5.5898366606170304</v>
      </c>
      <c r="N16" s="26">
        <f>INDEX(m!$B$2:$AX$50,MATCH('table (2)'!$L16,m!$A$2:$A$50,0),MATCH('table (2)'!N$4,m!$B$1:$AX$1,0))</f>
        <v>28.407739703815771</v>
      </c>
      <c r="O16" s="26">
        <f>INDEX(m!$B$2:$AX$50,MATCH('table (2)'!$L16,m!$A$2:$A$50,0),MATCH('table (2)'!O$4,m!$B$1:$AX$1,0))</f>
        <v>5.2341655938034144</v>
      </c>
      <c r="P16" s="26">
        <f>INDEX(m!$B$2:$AX$50,MATCH('table (2)'!$L16,m!$A$2:$A$50,0),MATCH('table (2)'!P$4,m!$B$1:$AX$1,0))</f>
        <v>-11.200995644057249</v>
      </c>
      <c r="Q16" s="26">
        <f>INDEX(m!$B$2:$AX$50,MATCH('table (2)'!$L16,m!$A$2:$A$50,0),MATCH('table (2)'!Q$4,m!$B$1:$AX$1,0))</f>
        <v>10.50789586000854</v>
      </c>
      <c r="R16" s="26">
        <f>INDEX(m!$B$2:$AX$50,MATCH('table (2)'!$L16,m!$A$2:$A$50,0),MATCH('table (2)'!R$4,m!$B$1:$AX$1,0))</f>
        <v>15.678609303195991</v>
      </c>
      <c r="S16" s="26">
        <f>INDEX(m!$B$2:$AZ$50,MATCH('table (2)'!$L16,m!$A$2:$A$50,0),MATCH('table (2)'!S$4,m!$B$1:$AZ$1,0))</f>
        <v>4.2020169681447097</v>
      </c>
      <c r="T16" s="26"/>
      <c r="U16">
        <v>1.052742172725373</v>
      </c>
      <c r="V16">
        <v>0.62822164948453707</v>
      </c>
      <c r="W16">
        <v>-0.1900912437970203</v>
      </c>
    </row>
    <row r="17" spans="2:32" ht="15.6" x14ac:dyDescent="0.3">
      <c r="B17" s="7" t="s">
        <v>84</v>
      </c>
      <c r="C17" s="10" t="s">
        <v>96</v>
      </c>
      <c r="D17" s="8">
        <f t="shared" ref="D17:G20" si="3">M17</f>
        <v>6</v>
      </c>
      <c r="E17" s="8">
        <f t="shared" si="3"/>
        <v>13</v>
      </c>
      <c r="F17" s="8">
        <f t="shared" si="3"/>
        <v>13</v>
      </c>
      <c r="G17" s="30">
        <f t="shared" si="3"/>
        <v>10</v>
      </c>
      <c r="H17" s="9">
        <f>Q17</f>
        <v>11.715063861758081</v>
      </c>
      <c r="I17" s="9">
        <f t="shared" si="0"/>
        <v>12</v>
      </c>
      <c r="J17" s="9">
        <f t="shared" si="0"/>
        <v>12</v>
      </c>
      <c r="L17" s="1" t="s">
        <v>33</v>
      </c>
      <c r="M17" s="26">
        <f>INDEX(m!$B$2:$AX$50,MATCH('table (2)'!$L17,m!$A$2:$A$50,0),MATCH('table (2)'!M$4,m!$B$1:$AX$1,0))</f>
        <v>6</v>
      </c>
      <c r="N17" s="26">
        <f>INDEX(m!$B$2:$AX$50,MATCH('table (2)'!$L17,m!$A$2:$A$50,0),MATCH('table (2)'!N$4,m!$B$1:$AX$1,0))</f>
        <v>13</v>
      </c>
      <c r="O17" s="26">
        <f>INDEX(m!$B$2:$AX$50,MATCH('table (2)'!$L17,m!$A$2:$A$50,0),MATCH('table (2)'!O$4,m!$B$1:$AX$1,0))</f>
        <v>13</v>
      </c>
      <c r="P17" s="26">
        <f>INDEX(m!$B$2:$AX$50,MATCH('table (2)'!$L17,m!$A$2:$A$50,0),MATCH('table (2)'!P$4,m!$B$1:$AX$1,0))</f>
        <v>10</v>
      </c>
      <c r="Q17" s="26">
        <f>INDEX(m!$B$2:$AX$50,MATCH('table (2)'!$L17,m!$A$2:$A$50,0),MATCH('table (2)'!Q$4,m!$B$1:$AX$1,0))</f>
        <v>11.715063861758081</v>
      </c>
      <c r="R17" s="26">
        <f>INDEX(m!$B$2:$AX$50,MATCH('table (2)'!$L17,m!$A$2:$A$50,0),MATCH('table (2)'!R$4,m!$B$1:$AX$1,0))</f>
        <v>12</v>
      </c>
      <c r="S17" s="26">
        <f>INDEX(m!$B$2:$AZ$50,MATCH('table (2)'!$L17,m!$A$2:$A$50,0),MATCH('table (2)'!S$4,m!$B$1:$AZ$1,0))</f>
        <v>12</v>
      </c>
      <c r="T17" s="26"/>
      <c r="U17">
        <v>11.715063861758081</v>
      </c>
      <c r="V17">
        <v>12</v>
      </c>
      <c r="W17">
        <v>12</v>
      </c>
    </row>
    <row r="18" spans="2:32" ht="15.6" x14ac:dyDescent="0.3">
      <c r="B18" s="7" t="s">
        <v>85</v>
      </c>
      <c r="C18" s="10" t="s">
        <v>97</v>
      </c>
      <c r="D18" s="8">
        <f t="shared" si="3"/>
        <v>6.2153547132736557</v>
      </c>
      <c r="E18" s="8">
        <f t="shared" si="3"/>
        <v>11.083483500345279</v>
      </c>
      <c r="F18" s="8">
        <f t="shared" si="3"/>
        <v>11.789334173386029</v>
      </c>
      <c r="G18" s="30">
        <f t="shared" si="3"/>
        <v>12.13180013571343</v>
      </c>
      <c r="H18" s="9">
        <f>Q18</f>
        <v>11.794109889209199</v>
      </c>
      <c r="I18" s="9">
        <f t="shared" si="0"/>
        <v>12.154919249242569</v>
      </c>
      <c r="J18" s="9">
        <f t="shared" si="0"/>
        <v>12.20595930563152</v>
      </c>
      <c r="K18" s="1"/>
      <c r="L18" s="1" t="s">
        <v>35</v>
      </c>
      <c r="M18" s="26">
        <f>INDEX(m!$B$2:$AX$50,MATCH('table (2)'!$L18,m!$A$2:$A$50,0),MATCH('table (2)'!M$4,m!$B$1:$AX$1,0))</f>
        <v>6.2153547132736557</v>
      </c>
      <c r="N18" s="26">
        <f>INDEX(m!$B$2:$AX$50,MATCH('table (2)'!$L18,m!$A$2:$A$50,0),MATCH('table (2)'!N$4,m!$B$1:$AX$1,0))</f>
        <v>11.083483500345279</v>
      </c>
      <c r="O18" s="26">
        <f>INDEX(m!$B$2:$AX$50,MATCH('table (2)'!$L18,m!$A$2:$A$50,0),MATCH('table (2)'!O$4,m!$B$1:$AX$1,0))</f>
        <v>11.789334173386029</v>
      </c>
      <c r="P18" s="26">
        <f>INDEX(m!$B$2:$AX$50,MATCH('table (2)'!$L18,m!$A$2:$A$50,0),MATCH('table (2)'!P$4,m!$B$1:$AX$1,0))</f>
        <v>12.13180013571343</v>
      </c>
      <c r="Q18" s="26">
        <f>INDEX(m!$B$2:$AX$50,MATCH('table (2)'!$L18,m!$A$2:$A$50,0),MATCH('table (2)'!Q$4,m!$B$1:$AX$1,0))</f>
        <v>11.794109889209199</v>
      </c>
      <c r="R18" s="26">
        <f>INDEX(m!$B$2:$AX$50,MATCH('table (2)'!$L18,m!$A$2:$A$50,0),MATCH('table (2)'!R$4,m!$B$1:$AX$1,0))</f>
        <v>12.154919249242569</v>
      </c>
      <c r="S18" s="26">
        <f>INDEX(m!$B$2:$AZ$50,MATCH('table (2)'!$L18,m!$A$2:$A$50,0),MATCH('table (2)'!S$4,m!$B$1:$AZ$1,0))</f>
        <v>12.20595930563152</v>
      </c>
      <c r="T18" s="26"/>
      <c r="U18">
        <v>16.953088146593188</v>
      </c>
      <c r="V18">
        <v>17.272560229151559</v>
      </c>
      <c r="W18">
        <v>17.098680308978981</v>
      </c>
    </row>
    <row r="19" spans="2:32" ht="15.6" x14ac:dyDescent="0.3">
      <c r="B19" s="16" t="s">
        <v>86</v>
      </c>
      <c r="C19" s="19" t="s">
        <v>98</v>
      </c>
      <c r="D19" s="17">
        <f t="shared" si="3"/>
        <v>14.28649946213949</v>
      </c>
      <c r="E19" s="17">
        <f t="shared" si="3"/>
        <v>15.71565684936334</v>
      </c>
      <c r="F19" s="17">
        <f t="shared" si="3"/>
        <v>16.73857615499422</v>
      </c>
      <c r="G19" s="31">
        <f t="shared" si="3"/>
        <v>16.912678651127429</v>
      </c>
      <c r="H19" s="18">
        <f>Q19</f>
        <v>16.953088146593188</v>
      </c>
      <c r="I19" s="18">
        <f t="shared" si="0"/>
        <v>17.272560229151559</v>
      </c>
      <c r="J19" s="18">
        <f t="shared" si="0"/>
        <v>17.260007793310692</v>
      </c>
      <c r="L19" s="1" t="s">
        <v>34</v>
      </c>
      <c r="M19" s="26">
        <f>INDEX(m!$B$2:$AX$50,MATCH('table (2)'!$L19,m!$A$2:$A$50,0),MATCH('table (2)'!M$4,m!$B$1:$AX$1,0))</f>
        <v>14.28649946213949</v>
      </c>
      <c r="N19" s="26">
        <f>INDEX(m!$B$2:$AX$50,MATCH('table (2)'!$L19,m!$A$2:$A$50,0),MATCH('table (2)'!N$4,m!$B$1:$AX$1,0))</f>
        <v>15.71565684936334</v>
      </c>
      <c r="O19" s="26">
        <f>INDEX(m!$B$2:$AX$50,MATCH('table (2)'!$L19,m!$A$2:$A$50,0),MATCH('table (2)'!O$4,m!$B$1:$AX$1,0))</f>
        <v>16.73857615499422</v>
      </c>
      <c r="P19" s="26">
        <f>INDEX(m!$B$2:$AX$50,MATCH('table (2)'!$L19,m!$A$2:$A$50,0),MATCH('table (2)'!P$4,m!$B$1:$AX$1,0))</f>
        <v>16.912678651127429</v>
      </c>
      <c r="Q19" s="26">
        <f>INDEX(m!$B$2:$AX$50,MATCH('table (2)'!$L19,m!$A$2:$A$50,0),MATCH('table (2)'!Q$4,m!$B$1:$AX$1,0))</f>
        <v>16.953088146593188</v>
      </c>
      <c r="R19" s="26">
        <f>INDEX(m!$B$2:$AX$50,MATCH('table (2)'!$L19,m!$A$2:$A$50,0),MATCH('table (2)'!R$4,m!$B$1:$AX$1,0))</f>
        <v>17.272560229151559</v>
      </c>
      <c r="S19" s="26">
        <f>INDEX(m!$B$2:$AZ$50,MATCH('table (2)'!$L19,m!$A$2:$A$50,0),MATCH('table (2)'!S$4,m!$B$1:$AZ$1,0))</f>
        <v>17.260007793310692</v>
      </c>
      <c r="T19" s="26"/>
      <c r="U19">
        <v>11.794109889209199</v>
      </c>
      <c r="V19">
        <v>12.154919249242569</v>
      </c>
      <c r="W19">
        <v>11.66490388052037</v>
      </c>
    </row>
    <row r="20" spans="2:32" ht="15.6" x14ac:dyDescent="0.3">
      <c r="B20" s="7" t="s">
        <v>87</v>
      </c>
      <c r="C20" s="10" t="s">
        <v>93</v>
      </c>
      <c r="D20" s="8">
        <f>M20</f>
        <v>13.817914802333361</v>
      </c>
      <c r="E20" s="8">
        <f t="shared" si="3"/>
        <v>6.4648482371675398</v>
      </c>
      <c r="F20" s="8">
        <f t="shared" si="3"/>
        <v>26.830691873024271</v>
      </c>
      <c r="G20" s="30">
        <f t="shared" si="3"/>
        <v>15.17612709212051</v>
      </c>
      <c r="H20" s="9">
        <f>Q20</f>
        <v>10.91755299220439</v>
      </c>
      <c r="I20" s="9">
        <f t="shared" si="0"/>
        <v>3.6945069787764342</v>
      </c>
      <c r="J20" s="9">
        <f t="shared" si="0"/>
        <v>5.5599995668752857</v>
      </c>
      <c r="L20" s="1" t="s">
        <v>36</v>
      </c>
      <c r="M20" s="26">
        <f>INDEX(m!$B$2:$AX$50,MATCH('table (2)'!$L20,m!$A$2:$A$50,0),MATCH('table (2)'!M$4,m!$B$1:$AX$1,0))</f>
        <v>13.817914802333361</v>
      </c>
      <c r="N20" s="26">
        <f>INDEX(m!$B$2:$AX$50,MATCH('table (2)'!$L20,m!$A$2:$A$50,0),MATCH('table (2)'!N$4,m!$B$1:$AX$1,0))</f>
        <v>6.4648482371675398</v>
      </c>
      <c r="O20" s="26">
        <f>INDEX(m!$B$2:$AX$50,MATCH('table (2)'!$L20,m!$A$2:$A$50,0),MATCH('table (2)'!O$4,m!$B$1:$AX$1,0))</f>
        <v>26.830691873024271</v>
      </c>
      <c r="P20" s="26">
        <f>INDEX(m!$B$2:$AX$50,MATCH('table (2)'!$L20,m!$A$2:$A$50,0),MATCH('table (2)'!P$4,m!$B$1:$AX$1,0))</f>
        <v>15.17612709212051</v>
      </c>
      <c r="Q20" s="26">
        <f>INDEX(m!$B$2:$AX$50,MATCH('table (2)'!$L20,m!$A$2:$A$50,0),MATCH('table (2)'!Q$4,m!$B$1:$AX$1,0))</f>
        <v>10.91755299220439</v>
      </c>
      <c r="R20" s="26">
        <f>INDEX(m!$B$2:$AX$50,MATCH('table (2)'!$L20,m!$A$2:$A$50,0),MATCH('table (2)'!R$4,m!$B$1:$AX$1,0))</f>
        <v>3.6945069787764342</v>
      </c>
      <c r="S20" s="26">
        <f>INDEX(m!$B$2:$AZ$50,MATCH('table (2)'!$L20,m!$A$2:$A$50,0),MATCH('table (2)'!S$4,m!$B$1:$AZ$1,0))</f>
        <v>5.5599995668752857</v>
      </c>
      <c r="T20" s="26"/>
      <c r="U20">
        <v>10.91755299220439</v>
      </c>
      <c r="V20">
        <v>3.6945069787764342</v>
      </c>
      <c r="W20">
        <v>3.183103807673151</v>
      </c>
    </row>
    <row r="21" spans="2:32" ht="15.6" hidden="1" x14ac:dyDescent="0.3">
      <c r="B21" s="7"/>
      <c r="C21" s="10" t="s">
        <v>94</v>
      </c>
      <c r="D21" s="8"/>
      <c r="E21" s="8"/>
      <c r="F21" s="8"/>
      <c r="G21" s="30"/>
      <c r="H21" s="9"/>
      <c r="I21" s="9">
        <f t="shared" si="0"/>
        <v>14.617220327063521</v>
      </c>
      <c r="J21" s="9">
        <f t="shared" si="0"/>
        <v>10.489941875397321</v>
      </c>
      <c r="L21" s="1" t="s">
        <v>37</v>
      </c>
      <c r="M21" s="26">
        <f>INDEX(m!$B$2:$AX$50,MATCH('table (2)'!$L21,m!$A$2:$A$50,0),MATCH('table (2)'!M$4,m!$B$1:$AX$1,0))</f>
        <v>8.8922851864313905</v>
      </c>
      <c r="N21" s="26">
        <f>INDEX(m!$B$2:$AX$50,MATCH('table (2)'!$L21,m!$A$2:$A$50,0),MATCH('table (2)'!N$4,m!$B$1:$AX$1,0))</f>
        <v>32.068314619396382</v>
      </c>
      <c r="O21" s="26">
        <f>INDEX(m!$B$2:$AX$50,MATCH('table (2)'!$L21,m!$A$2:$A$50,0),MATCH('table (2)'!O$4,m!$B$1:$AX$1,0))</f>
        <v>53.155141066877967</v>
      </c>
      <c r="P21" s="26">
        <f>INDEX(m!$B$2:$AX$50,MATCH('table (2)'!$L21,m!$A$2:$A$50,0),MATCH('table (2)'!P$4,m!$B$1:$AX$1,0))</f>
        <v>14.65192559980372</v>
      </c>
      <c r="Q21" s="26">
        <f>INDEX(m!$B$2:$AX$50,MATCH('table (2)'!$L21,m!$A$2:$A$50,0),MATCH('table (2)'!Q$4,m!$B$1:$AX$1,0))</f>
        <v>-17.081981721982</v>
      </c>
      <c r="R21" s="26">
        <f>INDEX(m!$B$2:$AX$50,MATCH('table (2)'!$L21,m!$A$2:$A$50,0),MATCH('table (2)'!R$4,m!$B$1:$AX$1,0))</f>
        <v>14.617220327063521</v>
      </c>
      <c r="S21" s="26">
        <f>INDEX(m!$B$2:$AZ$50,MATCH('table (2)'!$L21,m!$A$2:$A$50,0),MATCH('table (2)'!S$4,m!$B$1:$AZ$1,0))</f>
        <v>10.489941875397321</v>
      </c>
      <c r="T21" s="26"/>
      <c r="U21">
        <v>-4.270495430495501</v>
      </c>
      <c r="V21">
        <v>3.6543050817658802</v>
      </c>
      <c r="W21">
        <v>3.7934650891332309</v>
      </c>
    </row>
    <row r="22" spans="2:32" ht="15.6" x14ac:dyDescent="0.3">
      <c r="B22" s="7"/>
      <c r="C22" s="10" t="s">
        <v>95</v>
      </c>
      <c r="D22" s="8"/>
      <c r="E22" s="8"/>
      <c r="F22" s="8"/>
      <c r="G22" s="30"/>
      <c r="H22" s="9">
        <f>Q22</f>
        <v>-0.84348042923506994</v>
      </c>
      <c r="I22" s="9">
        <f t="shared" ref="I22:J42" si="4">R22</f>
        <v>3.4888373654755469</v>
      </c>
      <c r="J22" s="9">
        <f t="shared" si="4"/>
        <v>-0.35854948510342649</v>
      </c>
      <c r="L22" s="1" t="s">
        <v>38</v>
      </c>
      <c r="M22" s="26">
        <f>INDEX(m!$B$2:$AX$50,MATCH('table (2)'!$L22,m!$A$2:$A$50,0),MATCH('table (2)'!M$4,m!$B$1:$AX$1,0))</f>
        <v>2.2465118795803218</v>
      </c>
      <c r="N22" s="26">
        <f>INDEX(m!$B$2:$AX$50,MATCH('table (2)'!$L22,m!$A$2:$A$50,0),MATCH('table (2)'!N$4,m!$B$1:$AX$1,0))</f>
        <v>8.4947560765241548</v>
      </c>
      <c r="O22" s="26">
        <f>INDEX(m!$B$2:$AX$50,MATCH('table (2)'!$L22,m!$A$2:$A$50,0),MATCH('table (2)'!O$4,m!$B$1:$AX$1,0))</f>
        <v>6.2742625406699339</v>
      </c>
      <c r="P22" s="26">
        <f>INDEX(m!$B$2:$AX$50,MATCH('table (2)'!$L22,m!$A$2:$A$50,0),MATCH('table (2)'!P$4,m!$B$1:$AX$1,0))</f>
        <v>4.4037276383228594</v>
      </c>
      <c r="Q22" s="26">
        <f>INDEX(m!$B$2:$AX$50,MATCH('table (2)'!$L22,m!$A$2:$A$50,0),MATCH('table (2)'!Q$4,m!$B$1:$AX$1,0))</f>
        <v>-0.84348042923506994</v>
      </c>
      <c r="R22" s="26">
        <f>INDEX(m!$B$2:$AX$50,MATCH('table (2)'!$L22,m!$A$2:$A$50,0),MATCH('table (2)'!R$4,m!$B$1:$AX$1,0))</f>
        <v>3.4888373654755469</v>
      </c>
      <c r="S22" s="26">
        <f>INDEX(m!$B$2:$AZ$50,MATCH('table (2)'!$L22,m!$A$2:$A$50,0),MATCH('table (2)'!S$4,m!$B$1:$AZ$1,0))</f>
        <v>-0.35854948510342649</v>
      </c>
      <c r="T22" s="26"/>
      <c r="U22">
        <v>-0.84348042923506994</v>
      </c>
      <c r="V22">
        <v>3.4888373654755469</v>
      </c>
      <c r="W22">
        <v>0.19593757564588291</v>
      </c>
    </row>
    <row r="23" spans="2:32" ht="15.6" x14ac:dyDescent="0.3">
      <c r="B23" s="7"/>
      <c r="C23" s="10" t="s">
        <v>99</v>
      </c>
      <c r="D23" s="8">
        <f t="shared" ref="D23:G25" si="5">M23</f>
        <v>27.863476539423861</v>
      </c>
      <c r="E23" s="8">
        <f t="shared" si="5"/>
        <v>29.664808011296401</v>
      </c>
      <c r="F23" s="8">
        <f t="shared" si="5"/>
        <v>37.624081243531563</v>
      </c>
      <c r="G23" s="30">
        <f t="shared" si="5"/>
        <v>43.333959630292583</v>
      </c>
      <c r="H23" s="9">
        <f>Q23</f>
        <v>41.483384864428167</v>
      </c>
      <c r="I23" s="9">
        <f t="shared" si="4"/>
        <v>42.999314305617467</v>
      </c>
      <c r="J23" s="9">
        <f t="shared" si="4"/>
        <v>44.126965074987133</v>
      </c>
      <c r="L23" s="1" t="s">
        <v>39</v>
      </c>
      <c r="M23" s="26">
        <f>INDEX(m!$B$2:$AX$50,MATCH('table (2)'!$L23,m!$A$2:$A$50,0),MATCH('table (2)'!M$4,m!$B$1:$AX$1,0))</f>
        <v>27.863476539423861</v>
      </c>
      <c r="N23" s="26">
        <f>INDEX(m!$B$2:$AX$50,MATCH('table (2)'!$L23,m!$A$2:$A$50,0),MATCH('table (2)'!N$4,m!$B$1:$AX$1,0))</f>
        <v>29.664808011296401</v>
      </c>
      <c r="O23" s="26">
        <f>INDEX(m!$B$2:$AX$50,MATCH('table (2)'!$L23,m!$A$2:$A$50,0),MATCH('table (2)'!O$4,m!$B$1:$AX$1,0))</f>
        <v>37.624081243531563</v>
      </c>
      <c r="P23" s="26">
        <f>INDEX(m!$B$2:$AX$50,MATCH('table (2)'!$L23,m!$A$2:$A$50,0),MATCH('table (2)'!P$4,m!$B$1:$AX$1,0))</f>
        <v>43.333959630292583</v>
      </c>
      <c r="Q23" s="26">
        <f>INDEX(m!$B$2:$AX$50,MATCH('table (2)'!$L23,m!$A$2:$A$50,0),MATCH('table (2)'!Q$4,m!$B$1:$AX$1,0))</f>
        <v>41.483384864428167</v>
      </c>
      <c r="R23" s="26">
        <f>INDEX(m!$B$2:$AX$50,MATCH('table (2)'!$L23,m!$A$2:$A$50,0),MATCH('table (2)'!R$4,m!$B$1:$AX$1,0))</f>
        <v>42.999314305617467</v>
      </c>
      <c r="S23" s="26">
        <f>INDEX(m!$B$2:$AZ$50,MATCH('table (2)'!$L23,m!$A$2:$A$50,0),MATCH('table (2)'!S$4,m!$B$1:$AZ$1,0))</f>
        <v>44.126965074987133</v>
      </c>
      <c r="T23" s="26"/>
      <c r="U23">
        <v>41.483384864428167</v>
      </c>
      <c r="V23">
        <v>42.999314305617467</v>
      </c>
      <c r="W23">
        <v>43.08356611961225</v>
      </c>
    </row>
    <row r="24" spans="2:32" ht="15.6" x14ac:dyDescent="0.3">
      <c r="B24" s="16"/>
      <c r="C24" s="19" t="s">
        <v>100</v>
      </c>
      <c r="D24" s="17">
        <f t="shared" si="5"/>
        <v>63.972371928095207</v>
      </c>
      <c r="E24" s="17">
        <f t="shared" si="5"/>
        <v>55.086271604304059</v>
      </c>
      <c r="F24" s="17">
        <f t="shared" si="5"/>
        <v>53.411799508890972</v>
      </c>
      <c r="G24" s="31">
        <f>P24</f>
        <v>53.722192618640939</v>
      </c>
      <c r="H24" s="18">
        <f>Q24</f>
        <v>50.887918363219313</v>
      </c>
      <c r="I24" s="18">
        <f>R24</f>
        <v>52.747518149971313</v>
      </c>
      <c r="J24" s="18">
        <f>J23/J66*100</f>
        <v>54.130814148632965</v>
      </c>
      <c r="L24" s="1" t="s">
        <v>40</v>
      </c>
      <c r="M24" s="26">
        <f>INDEX(m!$B$2:$AX$50,MATCH('table (2)'!$L24,m!$A$2:$A$50,0),MATCH('table (2)'!M$4,m!$B$1:$AX$1,0))</f>
        <v>63.972371928095207</v>
      </c>
      <c r="N24" s="26">
        <f>INDEX(m!$B$2:$AX$50,MATCH('table (2)'!$L24,m!$A$2:$A$50,0),MATCH('table (2)'!N$4,m!$B$1:$AX$1,0))</f>
        <v>55.086271604304059</v>
      </c>
      <c r="O24" s="26">
        <f>INDEX(m!$B$2:$AX$50,MATCH('table (2)'!$L24,m!$A$2:$A$50,0),MATCH('table (2)'!O$4,m!$B$1:$AX$1,0))</f>
        <v>53.411799508890972</v>
      </c>
      <c r="P24" s="26">
        <f>INDEX(m!$B$2:$AX$50,MATCH('table (2)'!$L24,m!$A$2:$A$50,0),MATCH('table (2)'!P$4,m!$B$1:$AX$1,0))</f>
        <v>53.722192618640939</v>
      </c>
      <c r="Q24" s="26">
        <f>INDEX(m!$B$2:$AX$50,MATCH('table (2)'!$L24,m!$A$2:$A$50,0),MATCH('table (2)'!Q$4,m!$B$1:$AX$1,0))</f>
        <v>50.887918363219313</v>
      </c>
      <c r="R24" s="26">
        <f>R23/($H$23/$H$24)</f>
        <v>52.747518149971313</v>
      </c>
      <c r="S24" s="26">
        <f>S23/($H$23/$H$24)</f>
        <v>54.130814148632965</v>
      </c>
      <c r="T24" s="26"/>
      <c r="U24">
        <v>50.307353045806948</v>
      </c>
    </row>
    <row r="25" spans="2:32" ht="15.6" x14ac:dyDescent="0.3">
      <c r="B25" s="7" t="s">
        <v>88</v>
      </c>
      <c r="C25" s="10" t="s">
        <v>93</v>
      </c>
      <c r="D25" s="8">
        <f t="shared" si="5"/>
        <v>21.85680120907001</v>
      </c>
      <c r="E25" s="8">
        <f t="shared" si="5"/>
        <v>8.3267970247389993</v>
      </c>
      <c r="F25" s="8">
        <f t="shared" si="5"/>
        <v>21.879296396946099</v>
      </c>
      <c r="G25" s="30">
        <f>P25</f>
        <v>34.618690219088762</v>
      </c>
      <c r="H25" s="9">
        <f>Q25</f>
        <v>32.779265533701498</v>
      </c>
      <c r="I25" s="9">
        <f t="shared" si="4"/>
        <v>27.10913929631257</v>
      </c>
      <c r="J25" s="9">
        <f t="shared" si="4"/>
        <v>22.760333031442698</v>
      </c>
      <c r="L25" s="1" t="s">
        <v>41</v>
      </c>
      <c r="M25" s="26">
        <f>INDEX(m!$B$2:$AX$50,MATCH('table (2)'!$L25,m!$A$2:$A$50,0),MATCH('table (2)'!M$4,m!$B$1:$AX$1,0))</f>
        <v>21.85680120907001</v>
      </c>
      <c r="N25" s="26">
        <f>INDEX(m!$B$2:$AX$50,MATCH('table (2)'!$L25,m!$A$2:$A$50,0),MATCH('table (2)'!N$4,m!$B$1:$AX$1,0))</f>
        <v>8.3267970247389993</v>
      </c>
      <c r="O25" s="26">
        <f>INDEX(m!$B$2:$AX$50,MATCH('table (2)'!$L25,m!$A$2:$A$50,0),MATCH('table (2)'!O$4,m!$B$1:$AX$1,0))</f>
        <v>21.879296396946099</v>
      </c>
      <c r="P25" s="26">
        <f>INDEX(m!$B$2:$AX$50,MATCH('table (2)'!$L25,m!$A$2:$A$50,0),MATCH('table (2)'!P$4,m!$B$1:$AX$1,0))</f>
        <v>34.618690219088762</v>
      </c>
      <c r="Q25" s="26">
        <f>INDEX(m!$B$2:$AX$50,MATCH('table (2)'!$L25,m!$A$2:$A$50,0),MATCH('table (2)'!Q$4,m!$B$1:$AX$1,0))</f>
        <v>32.779265533701498</v>
      </c>
      <c r="R25" s="26">
        <f>INDEX(m!$B$2:$AX$50,MATCH('table (2)'!$L25,m!$A$2:$A$50,0),MATCH('table (2)'!R$4,m!$B$1:$AX$1,0))</f>
        <v>27.10913929631257</v>
      </c>
      <c r="S25" s="26">
        <f>INDEX(m!$B$2:$AZ$50,MATCH('table (2)'!$L25,m!$A$2:$A$50,0),MATCH('table (2)'!S$4,m!$B$1:$AZ$1,0))</f>
        <v>22.760333031442698</v>
      </c>
      <c r="T25" s="26"/>
      <c r="U25">
        <v>32.779265533701484</v>
      </c>
      <c r="V25">
        <v>27.10913929631257</v>
      </c>
      <c r="W25">
        <v>27.384671336286221</v>
      </c>
      <c r="AD25">
        <f>H23/H24*100</f>
        <v>81.519123199999981</v>
      </c>
    </row>
    <row r="26" spans="2:32" ht="15.6" hidden="1" x14ac:dyDescent="0.3">
      <c r="B26" s="7"/>
      <c r="C26" s="10" t="s">
        <v>94</v>
      </c>
      <c r="D26" s="8"/>
      <c r="E26" s="8"/>
      <c r="F26" s="8"/>
      <c r="G26" s="30"/>
      <c r="H26" s="9"/>
      <c r="I26" s="9">
        <f t="shared" si="4"/>
        <v>39.591237411203522</v>
      </c>
      <c r="J26" s="9">
        <f t="shared" si="4"/>
        <v>5.8031325330500962</v>
      </c>
      <c r="L26" s="1" t="s">
        <v>42</v>
      </c>
      <c r="M26" s="26">
        <f>INDEX(m!$B$2:$AX$50,MATCH('table (2)'!$L26,m!$A$2:$A$50,0),MATCH('table (2)'!M$4,m!$B$1:$AX$1,0))</f>
        <v>13.679302542862439</v>
      </c>
      <c r="N26" s="26">
        <f>INDEX(m!$B$2:$AX$50,MATCH('table (2)'!$L26,m!$A$2:$A$50,0),MATCH('table (2)'!N$4,m!$B$1:$AX$1,0))</f>
        <v>-6.8829885204692287</v>
      </c>
      <c r="O26" s="26">
        <f>INDEX(m!$B$2:$AX$50,MATCH('table (2)'!$L26,m!$A$2:$A$50,0),MATCH('table (2)'!O$4,m!$B$1:$AX$1,0))</f>
        <v>19.694894381119958</v>
      </c>
      <c r="P26" s="26">
        <f>INDEX(m!$B$2:$AX$50,MATCH('table (2)'!$L26,m!$A$2:$A$50,0),MATCH('table (2)'!P$4,m!$B$1:$AX$1,0))</f>
        <v>19.721122967704229</v>
      </c>
      <c r="Q26" s="26">
        <f>INDEX(m!$B$2:$AX$50,MATCH('table (2)'!$L26,m!$A$2:$A$50,0),MATCH('table (2)'!Q$4,m!$B$1:$AX$1,0))</f>
        <v>19.73267110455669</v>
      </c>
      <c r="R26" s="26">
        <f>INDEX(m!$B$2:$AX$50,MATCH('table (2)'!$L26,m!$A$2:$A$50,0),MATCH('table (2)'!R$4,m!$B$1:$AX$1,0))</f>
        <v>39.591237411203522</v>
      </c>
      <c r="S26" s="26">
        <f>INDEX(m!$B$2:$AZ$50,MATCH('table (2)'!$L26,m!$A$2:$A$50,0),MATCH('table (2)'!S$4,m!$B$1:$AZ$1,0))</f>
        <v>5.8031325330500962</v>
      </c>
      <c r="T26" s="26"/>
      <c r="U26">
        <v>4.9331677761391584</v>
      </c>
      <c r="V26">
        <v>9.8978093528008824</v>
      </c>
      <c r="W26">
        <v>7.6359818186297668</v>
      </c>
    </row>
    <row r="27" spans="2:32" ht="15.6" x14ac:dyDescent="0.3">
      <c r="B27" s="7"/>
      <c r="C27" s="10" t="s">
        <v>95</v>
      </c>
      <c r="D27" s="8"/>
      <c r="E27" s="8"/>
      <c r="F27" s="8"/>
      <c r="G27" s="30"/>
      <c r="H27" s="9">
        <f>Q27</f>
        <v>0.33498531638447182</v>
      </c>
      <c r="I27" s="9">
        <f t="shared" si="4"/>
        <v>4.7995553426233926</v>
      </c>
      <c r="J27" s="9">
        <f t="shared" si="4"/>
        <v>1.114313125730745</v>
      </c>
      <c r="L27" s="1" t="s">
        <v>43</v>
      </c>
      <c r="M27" s="26">
        <f>INDEX(m!$B$2:$AX$50,MATCH('table (2)'!$L27,m!$A$2:$A$50,0),MATCH('table (2)'!M$4,m!$B$1:$AX$1,0))</f>
        <v>3.066437863453896</v>
      </c>
      <c r="N27" s="26">
        <f>INDEX(m!$B$2:$AX$50,MATCH('table (2)'!$L27,m!$A$2:$A$50,0),MATCH('table (2)'!N$4,m!$B$1:$AX$1,0))</f>
        <v>-0.41185332125630653</v>
      </c>
      <c r="O27" s="26">
        <f>INDEX(m!$B$2:$AX$50,MATCH('table (2)'!$L27,m!$A$2:$A$50,0),MATCH('table (2)'!O$4,m!$B$1:$AX$1,0))</f>
        <v>1.843408288191585</v>
      </c>
      <c r="P27" s="26">
        <f>INDEX(m!$B$2:$AX$50,MATCH('table (2)'!$L27,m!$A$2:$A$50,0),MATCH('table (2)'!P$4,m!$B$1:$AX$1,0))</f>
        <v>2.6773363278158291</v>
      </c>
      <c r="Q27" s="26">
        <f>INDEX(m!$B$2:$AX$50,MATCH('table (2)'!$L27,m!$A$2:$A$50,0),MATCH('table (2)'!Q$4,m!$B$1:$AX$1,0))</f>
        <v>0.33498531638447182</v>
      </c>
      <c r="R27" s="26">
        <f>INDEX(m!$B$2:$AX$50,MATCH('table (2)'!$L27,m!$A$2:$A$50,0),MATCH('table (2)'!R$4,m!$B$1:$AX$1,0))</f>
        <v>4.7995553426233926</v>
      </c>
      <c r="S27" s="26">
        <f>INDEX(m!$B$2:$AZ$50,MATCH('table (2)'!$L27,m!$A$2:$A$50,0),MATCH('table (2)'!S$4,m!$B$1:$AZ$1,0))</f>
        <v>1.114313125730745</v>
      </c>
      <c r="T27" s="26"/>
      <c r="U27">
        <v>0.33498531638445672</v>
      </c>
      <c r="V27">
        <v>4.7995553426233784</v>
      </c>
      <c r="W27">
        <v>0.41679941671378368</v>
      </c>
    </row>
    <row r="28" spans="2:32" ht="15.6" x14ac:dyDescent="0.3">
      <c r="B28" s="7"/>
      <c r="C28" s="10" t="s">
        <v>99</v>
      </c>
      <c r="D28" s="8"/>
      <c r="E28" s="8"/>
      <c r="F28" s="8"/>
      <c r="G28" s="30"/>
      <c r="H28" s="9"/>
      <c r="I28" s="9"/>
      <c r="J28" s="9"/>
      <c r="L28" s="1" t="s">
        <v>168</v>
      </c>
      <c r="M28" s="26"/>
      <c r="N28" s="26"/>
      <c r="O28" s="26"/>
      <c r="P28" s="26"/>
      <c r="Q28" s="26"/>
      <c r="R28" s="26"/>
      <c r="S28" s="26"/>
      <c r="T28" s="26"/>
      <c r="AD28" s="35">
        <f>H29*$AD$25/100</f>
        <v>3.7668662499999981E-5</v>
      </c>
      <c r="AE28">
        <f>AD28*(1+I27/100)</f>
        <v>3.9476590803513506E-5</v>
      </c>
      <c r="AF28" t="e">
        <f>AE28*(1+#REF!/100)</f>
        <v>#REF!</v>
      </c>
    </row>
    <row r="29" spans="2:32" ht="15.6" x14ac:dyDescent="0.3">
      <c r="B29" s="16"/>
      <c r="C29" s="19" t="s">
        <v>100</v>
      </c>
      <c r="D29" s="17">
        <f>M29</f>
        <v>4.6371737180423279E-5</v>
      </c>
      <c r="E29" s="17">
        <f>N29</f>
        <v>4.0628796153894511E-5</v>
      </c>
      <c r="F29" s="17">
        <f>O29</f>
        <v>3.785588137804399E-5</v>
      </c>
      <c r="G29" s="31">
        <f>P29</f>
        <v>4.4503356933523378E-5</v>
      </c>
      <c r="H29" s="18">
        <f>Q29</f>
        <v>4.6208375435519887E-5</v>
      </c>
      <c r="I29" s="18">
        <f>R29</f>
        <v>4.9329199947781647E-5</v>
      </c>
      <c r="J29" s="18">
        <f>S29</f>
        <v>4.9201556916536432E-5</v>
      </c>
      <c r="L29" s="1" t="s">
        <v>44</v>
      </c>
      <c r="M29" s="26">
        <f>INDEX(m!$B$2:$AX$50,MATCH('table (2)'!$L29,m!$A$2:$A$50,0),MATCH('table (2)'!M$4,m!$B$1:$AX$1,0))</f>
        <v>4.6371737180423279E-5</v>
      </c>
      <c r="N29" s="26">
        <f>INDEX(m!$B$2:$AX$50,MATCH('table (2)'!$L29,m!$A$2:$A$50,0),MATCH('table (2)'!N$4,m!$B$1:$AX$1,0))</f>
        <v>4.0628796153894511E-5</v>
      </c>
      <c r="O29" s="26">
        <f>INDEX(m!$B$2:$AX$50,MATCH('table (2)'!$L29,m!$A$2:$A$50,0),MATCH('table (2)'!O$4,m!$B$1:$AX$1,0))</f>
        <v>3.785588137804399E-5</v>
      </c>
      <c r="P29" s="26">
        <f>INDEX(m!$B$2:$AX$50,MATCH('table (2)'!$L29,m!$A$2:$A$50,0),MATCH('table (2)'!P$4,m!$B$1:$AX$1,0))</f>
        <v>4.4503356933523378E-5</v>
      </c>
      <c r="Q29" s="26">
        <f>INDEX(m!$B$2:$AX$50,MATCH('table (2)'!$L29,m!$A$2:$A$50,0),MATCH('table (2)'!Q$4,m!$B$1:$AX$1,0))</f>
        <v>4.6208375435519887E-5</v>
      </c>
      <c r="R29" s="26">
        <f>INDEX(m!$B$2:$AX$50,MATCH('table (2)'!$L29,m!$A$2:$A$50,0),MATCH('table (2)'!R$4,m!$B$1:$AX$1,0))</f>
        <v>4.9329199947781647E-5</v>
      </c>
      <c r="S29" s="26">
        <f>INDEX(m!$B$2:$AZ$50,MATCH('table (2)'!$L29,m!$A$2:$A$50,0),MATCH('table (2)'!S$4,m!$B$1:$AZ$1,0))</f>
        <v>4.9201556916536432E-5</v>
      </c>
      <c r="T29" s="26"/>
      <c r="U29">
        <v>45.681197649225894</v>
      </c>
      <c r="AE29">
        <f>AE28/$AD$25*100</f>
        <v>4.8426171987474853E-5</v>
      </c>
      <c r="AF29" t="e">
        <f>AF28/$AD$25*100</f>
        <v>#REF!</v>
      </c>
    </row>
    <row r="30" spans="2:32" ht="15.6" hidden="1" x14ac:dyDescent="0.3">
      <c r="B30" s="7" t="s">
        <v>89</v>
      </c>
      <c r="C30" s="10" t="s">
        <v>93</v>
      </c>
      <c r="D30" s="8">
        <f>M30</f>
        <v>21.78852919186593</v>
      </c>
      <c r="E30" s="8">
        <f>N30</f>
        <v>11.13941083295127</v>
      </c>
      <c r="F30" s="8">
        <f>O30</f>
        <v>32.454539064334092</v>
      </c>
      <c r="G30" s="30">
        <f>P30</f>
        <v>42.418935623269718</v>
      </c>
      <c r="H30" s="9">
        <f>Q30</f>
        <v>36.083349366243581</v>
      </c>
      <c r="I30" s="9">
        <f t="shared" ref="I30:J32" si="6">R30</f>
        <v>26.618681867853152</v>
      </c>
      <c r="J30" s="9">
        <f t="shared" si="6"/>
        <v>21.313131997167542</v>
      </c>
      <c r="L30" s="1" t="s">
        <v>45</v>
      </c>
      <c r="M30" s="26">
        <f>INDEX(m!$B$2:$AX$50,MATCH('table (2)'!$L30,m!$A$2:$A$50,0),MATCH('table (2)'!M$4,m!$B$1:$AX$1,0))</f>
        <v>21.78852919186593</v>
      </c>
      <c r="N30" s="26">
        <f>INDEX(m!$B$2:$AX$50,MATCH('table (2)'!$L30,m!$A$2:$A$50,0),MATCH('table (2)'!N$4,m!$B$1:$AX$1,0))</f>
        <v>11.13941083295127</v>
      </c>
      <c r="O30" s="26">
        <f>INDEX(m!$B$2:$AX$50,MATCH('table (2)'!$L30,m!$A$2:$A$50,0),MATCH('table (2)'!O$4,m!$B$1:$AX$1,0))</f>
        <v>32.454539064334092</v>
      </c>
      <c r="P30" s="26">
        <f>INDEX(m!$B$2:$AX$50,MATCH('table (2)'!$L30,m!$A$2:$A$50,0),MATCH('table (2)'!P$4,m!$B$1:$AX$1,0))</f>
        <v>42.418935623269718</v>
      </c>
      <c r="Q30" s="26">
        <f>INDEX(m!$B$2:$AX$50,MATCH('table (2)'!$L30,m!$A$2:$A$50,0),MATCH('table (2)'!Q$4,m!$B$1:$AX$1,0))</f>
        <v>36.083349366243581</v>
      </c>
      <c r="R30" s="26">
        <f>INDEX(m!$B$2:$AX$50,MATCH('table (2)'!$L30,m!$A$2:$A$50,0),MATCH('table (2)'!R$4,m!$B$1:$AX$1,0))</f>
        <v>26.618681867853152</v>
      </c>
      <c r="S30" s="26">
        <f>INDEX(m!$B$2:$AZ$50,MATCH('table (2)'!$L30,m!$A$2:$A$50,0),MATCH('table (2)'!S$4,m!$B$1:$AZ$1,0))</f>
        <v>21.313131997167542</v>
      </c>
      <c r="T30" s="26"/>
      <c r="U30">
        <v>36.083349366243588</v>
      </c>
      <c r="V30">
        <v>26.618681867853152</v>
      </c>
      <c r="W30">
        <v>27.245571656741738</v>
      </c>
    </row>
    <row r="31" spans="2:32" ht="15.6" x14ac:dyDescent="0.3">
      <c r="B31" s="7"/>
      <c r="C31" s="10" t="s">
        <v>94</v>
      </c>
      <c r="D31" s="8"/>
      <c r="E31" s="8"/>
      <c r="F31" s="8"/>
      <c r="G31" s="30"/>
      <c r="H31" s="9"/>
      <c r="I31" s="9">
        <f t="shared" si="6"/>
        <v>26.65886836312729</v>
      </c>
      <c r="J31" s="9">
        <f t="shared" si="6"/>
        <v>11.93086354452246</v>
      </c>
      <c r="L31" s="1" t="s">
        <v>46</v>
      </c>
      <c r="M31" s="26">
        <f>INDEX(m!$B$2:$AX$50,MATCH('table (2)'!$L31,m!$A$2:$A$50,0),MATCH('table (2)'!M$4,m!$B$1:$AX$1,0))</f>
        <v>13.24644092518349</v>
      </c>
      <c r="N31" s="26">
        <f>INDEX(m!$B$2:$AX$50,MATCH('table (2)'!$L31,m!$A$2:$A$50,0),MATCH('table (2)'!N$4,m!$B$1:$AX$1,0))</f>
        <v>-1.031914648486522</v>
      </c>
      <c r="O31" s="26">
        <f>INDEX(m!$B$2:$AX$50,MATCH('table (2)'!$L31,m!$A$2:$A$50,0),MATCH('table (2)'!O$4,m!$B$1:$AX$1,0))</f>
        <v>19.474926929586939</v>
      </c>
      <c r="P31" s="26">
        <f>INDEX(m!$B$2:$AX$50,MATCH('table (2)'!$L31,m!$A$2:$A$50,0),MATCH('table (2)'!P$4,m!$B$1:$AX$1,0))</f>
        <v>20.262523773058199</v>
      </c>
      <c r="Q31" s="26">
        <f>INDEX(m!$B$2:$AX$50,MATCH('table (2)'!$L31,m!$A$2:$A$50,0),MATCH('table (2)'!Q$4,m!$B$1:$AX$1,0))</f>
        <v>20.45740628666222</v>
      </c>
      <c r="R31" s="26">
        <f>INDEX(m!$B$2:$AX$50,MATCH('table (2)'!$L31,m!$A$2:$A$50,0),MATCH('table (2)'!R$4,m!$B$1:$AX$1,0))</f>
        <v>26.65886836312729</v>
      </c>
      <c r="S31" s="26">
        <f>INDEX(m!$B$2:$AZ$50,MATCH('table (2)'!$L31,m!$A$2:$A$50,0),MATCH('table (2)'!S$4,m!$B$1:$AZ$1,0))</f>
        <v>11.93086354452246</v>
      </c>
      <c r="T31" s="26"/>
      <c r="U31">
        <v>5.1143515716655514</v>
      </c>
      <c r="V31">
        <v>6.6647170907818269</v>
      </c>
      <c r="W31">
        <v>6.0303269933857644</v>
      </c>
    </row>
    <row r="32" spans="2:32" ht="15.6" x14ac:dyDescent="0.3">
      <c r="B32" s="7"/>
      <c r="C32" s="10" t="s">
        <v>95</v>
      </c>
      <c r="D32" s="8"/>
      <c r="E32" s="8"/>
      <c r="F32" s="8"/>
      <c r="G32" s="30"/>
      <c r="H32" s="9">
        <f>Q32</f>
        <v>-1.479965578741665</v>
      </c>
      <c r="I32" s="9">
        <f t="shared" si="6"/>
        <v>2.2924227561166122</v>
      </c>
      <c r="J32" s="9">
        <f t="shared" si="6"/>
        <v>1.4820992697395681</v>
      </c>
      <c r="L32" s="1" t="s">
        <v>47</v>
      </c>
      <c r="M32" s="26">
        <f>INDEX(m!$B$2:$AX$50,MATCH('table (2)'!$L32,m!$A$2:$A$50,0),MATCH('table (2)'!M$4,m!$B$1:$AX$1,0))</f>
        <v>1.627071115233681</v>
      </c>
      <c r="N32" s="26">
        <f>INDEX(m!$B$2:$AX$50,MATCH('table (2)'!$L32,m!$A$2:$A$50,0),MATCH('table (2)'!N$4,m!$B$1:$AX$1,0))</f>
        <v>0.280029407805718</v>
      </c>
      <c r="O32" s="26">
        <f>INDEX(m!$B$2:$AX$50,MATCH('table (2)'!$L32,m!$A$2:$A$50,0),MATCH('table (2)'!O$4,m!$B$1:$AX$1,0))</f>
        <v>0.31258368920582857</v>
      </c>
      <c r="P32" s="26">
        <f>INDEX(m!$B$2:$AX$50,MATCH('table (2)'!$L32,m!$A$2:$A$50,0),MATCH('table (2)'!P$4,m!$B$1:$AX$1,0))</f>
        <v>1.7771208593189429</v>
      </c>
      <c r="Q32" s="26">
        <f>INDEX(m!$B$2:$AX$50,MATCH('table (2)'!$L32,m!$A$2:$A$50,0),MATCH('table (2)'!Q$4,m!$B$1:$AX$1,0))</f>
        <v>-1.479965578741665</v>
      </c>
      <c r="R32" s="26">
        <f>INDEX(m!$B$2:$AX$50,MATCH('table (2)'!$L32,m!$A$2:$A$50,0),MATCH('table (2)'!R$4,m!$B$1:$AX$1,0))</f>
        <v>2.2924227561166122</v>
      </c>
      <c r="S32" s="26">
        <f>INDEX(m!$B$2:$AZ$50,MATCH('table (2)'!$L32,m!$A$2:$A$50,0),MATCH('table (2)'!S$4,m!$B$1:$AZ$1,0))</f>
        <v>1.4820992697395681</v>
      </c>
      <c r="T32" s="26"/>
      <c r="U32">
        <v>-1.479965578741669</v>
      </c>
      <c r="V32">
        <v>2.2924227561166139</v>
      </c>
      <c r="W32">
        <v>1.844891374544279</v>
      </c>
      <c r="AD32" s="35">
        <f>H34*$AD$25/100</f>
        <v>2.3361403772703808E-5</v>
      </c>
    </row>
    <row r="33" spans="2:32" ht="15.6" x14ac:dyDescent="0.3">
      <c r="B33" s="7"/>
      <c r="C33" s="10" t="s">
        <v>99</v>
      </c>
      <c r="D33" s="8"/>
      <c r="E33" s="8"/>
      <c r="F33" s="8"/>
      <c r="G33" s="30"/>
      <c r="H33" s="9"/>
      <c r="I33" s="9"/>
      <c r="J33" s="9"/>
      <c r="L33" s="1" t="s">
        <v>169</v>
      </c>
      <c r="M33" s="26"/>
      <c r="N33" s="26"/>
      <c r="O33" s="26"/>
      <c r="P33" s="26"/>
      <c r="Q33" s="26"/>
      <c r="R33" s="26"/>
      <c r="S33" s="26"/>
      <c r="T33" s="26"/>
    </row>
    <row r="34" spans="2:32" ht="15.6" hidden="1" x14ac:dyDescent="0.3">
      <c r="B34" s="16"/>
      <c r="C34" s="19" t="s">
        <v>100</v>
      </c>
      <c r="D34" s="17">
        <f>M34</f>
        <v>2.4338364977413251E-5</v>
      </c>
      <c r="E34" s="17">
        <f>N34</f>
        <v>2.18778266009827E-5</v>
      </c>
      <c r="F34" s="17">
        <f>O34</f>
        <v>2.2153405195856519E-5</v>
      </c>
      <c r="G34" s="31">
        <f>P34</f>
        <v>2.7552580212067149E-5</v>
      </c>
      <c r="H34" s="18">
        <f>Q34</f>
        <v>2.8657574880177089E-5</v>
      </c>
      <c r="I34" s="18">
        <f>R34</f>
        <v>2.9693032790509401E-5</v>
      </c>
      <c r="J34" s="18">
        <f>I34*(1+J32/100)</f>
        <v>3.0133113012661073E-5</v>
      </c>
      <c r="L34" s="1" t="s">
        <v>48</v>
      </c>
      <c r="M34" s="26">
        <f>INDEX(m!$B$2:$AX$50,MATCH('table (2)'!$L34,m!$A$2:$A$50,0),MATCH('table (2)'!M$4,m!$B$1:$AX$1,0))</f>
        <v>2.4338364977413251E-5</v>
      </c>
      <c r="N34" s="26">
        <f>INDEX(m!$B$2:$AX$50,MATCH('table (2)'!$L34,m!$A$2:$A$50,0),MATCH('table (2)'!N$4,m!$B$1:$AX$1,0))</f>
        <v>2.18778266009827E-5</v>
      </c>
      <c r="O34" s="26">
        <f>INDEX(m!$B$2:$AX$50,MATCH('table (2)'!$L34,m!$A$2:$A$50,0),MATCH('table (2)'!O$4,m!$B$1:$AX$1,0))</f>
        <v>2.2153405195856519E-5</v>
      </c>
      <c r="P34" s="26">
        <f>INDEX(m!$B$2:$AX$50,MATCH('table (2)'!$L34,m!$A$2:$A$50,0),MATCH('table (2)'!P$4,m!$B$1:$AX$1,0))</f>
        <v>2.7552580212067149E-5</v>
      </c>
      <c r="Q34" s="26">
        <f>INDEX(m!$B$2:$AX$50,MATCH('table (2)'!$L34,m!$A$2:$A$50,0),MATCH('table (2)'!Q$4,m!$B$1:$AX$1,0))</f>
        <v>2.8657574880177089E-5</v>
      </c>
      <c r="R34" s="26">
        <f>INDEX(m!$B$2:$AX$50,MATCH('table (2)'!$L34,m!$A$2:$A$50,0),MATCH('table (2)'!R$4,m!$B$1:$AX$1,0))</f>
        <v>2.9693032790509401E-5</v>
      </c>
      <c r="S34" s="26">
        <f>INDEX(m!$B$2:$AZ$50,MATCH('table (2)'!$L34,m!$A$2:$A$50,0),MATCH('table (2)'!S$4,m!$B$1:$AZ$1,0))</f>
        <v>3.0063412011427661E-5</v>
      </c>
      <c r="T34" s="26"/>
      <c r="U34">
        <v>28.33062902364145</v>
      </c>
    </row>
    <row r="35" spans="2:32" ht="15.6" x14ac:dyDescent="0.3">
      <c r="B35" s="7" t="s">
        <v>90</v>
      </c>
      <c r="C35" s="10" t="s">
        <v>93</v>
      </c>
      <c r="D35" s="8">
        <f>M35</f>
        <v>23.628687134396841</v>
      </c>
      <c r="E35" s="8">
        <f>N35</f>
        <v>2.9359899709161961</v>
      </c>
      <c r="F35" s="8">
        <f>O35</f>
        <v>13.03996347212877</v>
      </c>
      <c r="G35" s="30">
        <f>P35</f>
        <v>20.052925989870658</v>
      </c>
      <c r="H35" s="9">
        <f>Q35</f>
        <v>24.624443249051321</v>
      </c>
      <c r="I35" s="9">
        <f>R35</f>
        <v>25.506298402022999</v>
      </c>
      <c r="J35" s="9">
        <f>S35</f>
        <v>23.893050336997501</v>
      </c>
      <c r="L35" s="1" t="s">
        <v>49</v>
      </c>
      <c r="M35" s="26">
        <f>INDEX(m!$B$2:$AX$50,MATCH('table (2)'!$L35,m!$A$2:$A$50,0),MATCH('table (2)'!M$4,m!$B$1:$AX$1,0))</f>
        <v>23.628687134396841</v>
      </c>
      <c r="N35" s="26">
        <f>INDEX(m!$B$2:$AX$50,MATCH('table (2)'!$L35,m!$A$2:$A$50,0),MATCH('table (2)'!N$4,m!$B$1:$AX$1,0))</f>
        <v>2.9359899709161961</v>
      </c>
      <c r="O35" s="26">
        <f>INDEX(m!$B$2:$AX$50,MATCH('table (2)'!$L35,m!$A$2:$A$50,0),MATCH('table (2)'!O$4,m!$B$1:$AX$1,0))</f>
        <v>13.03996347212877</v>
      </c>
      <c r="P35" s="26">
        <f>INDEX(m!$B$2:$AX$50,MATCH('table (2)'!$L35,m!$A$2:$A$50,0),MATCH('table (2)'!P$4,m!$B$1:$AX$1,0))</f>
        <v>20.052925989870658</v>
      </c>
      <c r="Q35" s="26">
        <f>INDEX(m!$B$2:$AX$50,MATCH('table (2)'!$L35,m!$A$2:$A$50,0),MATCH('table (2)'!Q$4,m!$B$1:$AX$1,0))</f>
        <v>24.624443249051321</v>
      </c>
      <c r="R35" s="26">
        <f>INDEX(m!$B$2:$AX$50,MATCH('table (2)'!$L35,m!$A$2:$A$50,0),MATCH('table (2)'!R$4,m!$B$1:$AX$1,0))</f>
        <v>25.506298402022999</v>
      </c>
      <c r="S35" s="26">
        <f>INDEX(m!$B$2:$AZ$50,MATCH('table (2)'!$L35,m!$A$2:$A$50,0),MATCH('table (2)'!S$4,m!$B$1:$AZ$1,0))</f>
        <v>23.893050336997501</v>
      </c>
      <c r="T35" s="26"/>
      <c r="U35">
        <v>24.624443249051311</v>
      </c>
      <c r="V35">
        <v>25.50629840202301</v>
      </c>
      <c r="W35">
        <v>25.175621439966189</v>
      </c>
      <c r="AD35" s="35">
        <f>H37*$AD$25/100</f>
        <v>0</v>
      </c>
      <c r="AE35">
        <f>AD35*(1+I36/100)</f>
        <v>0</v>
      </c>
      <c r="AF35" t="e">
        <f>AE35*(1+#REF!/100)</f>
        <v>#REF!</v>
      </c>
    </row>
    <row r="36" spans="2:32" ht="15.6" x14ac:dyDescent="0.3">
      <c r="B36" s="7"/>
      <c r="C36" s="10" t="s">
        <v>94</v>
      </c>
      <c r="D36" s="8"/>
      <c r="E36" s="8"/>
      <c r="F36" s="8"/>
      <c r="G36" s="30"/>
      <c r="H36" s="9"/>
      <c r="I36" s="9">
        <f>R36</f>
        <v>60.640283595257358</v>
      </c>
      <c r="J36" s="9">
        <f>S36</f>
        <v>0.46769691459315688</v>
      </c>
      <c r="L36" s="1" t="s">
        <v>50</v>
      </c>
      <c r="M36" s="26">
        <f>INDEX(m!$B$2:$AX$50,MATCH('table (2)'!$L36,m!$A$2:$A$50,0),MATCH('table (2)'!M$4,m!$B$1:$AX$1,0))</f>
        <v>19.91170544788708</v>
      </c>
      <c r="N36" s="26">
        <f>INDEX(m!$B$2:$AX$50,MATCH('table (2)'!$L36,m!$A$2:$A$50,0),MATCH('table (2)'!N$4,m!$B$1:$AX$1,0))</f>
        <v>-26.585109401198679</v>
      </c>
      <c r="O36" s="26">
        <f>INDEX(m!$B$2:$AX$50,MATCH('table (2)'!$L36,m!$A$2:$A$50,0),MATCH('table (2)'!O$4,m!$B$1:$AX$1,0))</f>
        <v>20.451713478163398</v>
      </c>
      <c r="P36" s="26">
        <f>INDEX(m!$B$2:$AX$50,MATCH('table (2)'!$L36,m!$A$2:$A$50,0),MATCH('table (2)'!P$4,m!$B$1:$AX$1,0))</f>
        <v>11.87539239923418</v>
      </c>
      <c r="Q36" s="26">
        <f>INDEX(m!$B$2:$AX$50,MATCH('table (2)'!$L36,m!$A$2:$A$50,0),MATCH('table (2)'!Q$4,m!$B$1:$AX$1,0))</f>
        <v>17.43769171391083</v>
      </c>
      <c r="R36" s="26">
        <f>INDEX(m!$B$2:$AX$50,MATCH('table (2)'!$L36,m!$A$2:$A$50,0),MATCH('table (2)'!R$4,m!$B$1:$AX$1,0))</f>
        <v>60.640283595257358</v>
      </c>
      <c r="S36" s="26">
        <f>INDEX(m!$B$2:$AZ$50,MATCH('table (2)'!$L36,m!$A$2:$A$50,0),MATCH('table (2)'!S$4,m!$B$1:$AZ$1,0))</f>
        <v>0.46769691459315688</v>
      </c>
      <c r="T36" s="26"/>
      <c r="U36">
        <v>4.3594229284777084</v>
      </c>
      <c r="V36">
        <v>15.16007089881434</v>
      </c>
      <c r="W36">
        <v>10.163290195487351</v>
      </c>
      <c r="AD36" s="35">
        <f>H39*$AD$25/100</f>
        <v>1.4364973805172836E-5</v>
      </c>
      <c r="AE36">
        <f>AD36*(1+I37/100)</f>
        <v>1.5582401265572433E-5</v>
      </c>
      <c r="AF36" t="e">
        <f>AE36*(1+#REF!/100)</f>
        <v>#REF!</v>
      </c>
    </row>
    <row r="37" spans="2:32" ht="15.6" x14ac:dyDescent="0.3">
      <c r="B37" s="7"/>
      <c r="C37" s="10" t="s">
        <v>95</v>
      </c>
      <c r="D37" s="8"/>
      <c r="E37" s="8"/>
      <c r="F37" s="8"/>
      <c r="G37" s="30"/>
      <c r="H37" s="9"/>
      <c r="I37" s="9">
        <f>R37</f>
        <v>8.4749716700576077</v>
      </c>
      <c r="J37" s="9">
        <f>S37</f>
        <v>0.87055907432767987</v>
      </c>
      <c r="L37" s="1" t="s">
        <v>51</v>
      </c>
      <c r="M37" s="26">
        <f>INDEX(m!$B$2:$AX$50,MATCH('table (2)'!$L37,m!$A$2:$A$50,0),MATCH('table (2)'!M$4,m!$B$1:$AX$1,0))</f>
        <v>4.1400216202717894</v>
      </c>
      <c r="N37" s="26">
        <f>INDEX(m!$B$2:$AX$50,MATCH('table (2)'!$L37,m!$A$2:$A$50,0),MATCH('table (2)'!N$4,m!$B$1:$AX$1,0))</f>
        <v>-4.3054448678718646</v>
      </c>
      <c r="O37" s="26">
        <f>INDEX(m!$B$2:$AX$50,MATCH('table (2)'!$L37,m!$A$2:$A$50,0),MATCH('table (2)'!O$4,m!$B$1:$AX$1,0))</f>
        <v>3.8427610392610281</v>
      </c>
      <c r="P37" s="26">
        <f>INDEX(m!$B$2:$AX$50,MATCH('table (2)'!$L37,m!$A$2:$A$50,0),MATCH('table (2)'!P$4,m!$B$1:$AX$1,0))</f>
        <v>2.632516457163431</v>
      </c>
      <c r="Q37" s="26">
        <f>INDEX(m!$B$2:$AX$50,MATCH('table (2)'!$L37,m!$A$2:$A$50,0),MATCH('table (2)'!Q$4,m!$B$1:$AX$1,0))</f>
        <v>3.6295985081293241</v>
      </c>
      <c r="R37" s="26">
        <f>INDEX(m!$B$2:$AX$50,MATCH('table (2)'!$L37,m!$A$2:$A$50,0),MATCH('table (2)'!R$4,m!$B$1:$AX$1,0))</f>
        <v>8.4749716700576077</v>
      </c>
      <c r="S37" s="26">
        <f>INDEX(m!$B$2:$AZ$50,MATCH('table (2)'!$L37,m!$A$2:$A$50,0),MATCH('table (2)'!S$4,m!$B$1:$AZ$1,0))</f>
        <v>0.87055907432767987</v>
      </c>
      <c r="T37" s="26"/>
      <c r="U37">
        <v>3.6295985081293352</v>
      </c>
      <c r="V37">
        <v>8.4749716700576201</v>
      </c>
      <c r="W37">
        <v>-1.5436548228071489</v>
      </c>
      <c r="AE37">
        <f>AE36/$AD$25*100</f>
        <v>1.9115025596316075E-5</v>
      </c>
      <c r="AF37" t="e">
        <f>AF36/$AD$25*100</f>
        <v>#REF!</v>
      </c>
    </row>
    <row r="38" spans="2:32" ht="15.6" x14ac:dyDescent="0.3">
      <c r="B38" s="7"/>
      <c r="C38" s="10" t="s">
        <v>99</v>
      </c>
      <c r="D38" s="8"/>
      <c r="E38" s="8"/>
      <c r="F38" s="8"/>
      <c r="G38" s="30"/>
      <c r="H38" s="9"/>
      <c r="I38" s="9"/>
      <c r="J38" s="9"/>
      <c r="L38" s="1" t="s">
        <v>170</v>
      </c>
      <c r="M38" s="26"/>
      <c r="N38" s="26"/>
      <c r="O38" s="26"/>
      <c r="P38" s="26"/>
      <c r="Q38" s="26"/>
      <c r="R38" s="26"/>
      <c r="S38" s="26"/>
      <c r="T38" s="26"/>
    </row>
    <row r="39" spans="2:32" ht="15.6" x14ac:dyDescent="0.3">
      <c r="B39" s="16"/>
      <c r="C39" s="19" t="s">
        <v>100</v>
      </c>
      <c r="D39" s="17">
        <f>M39</f>
        <v>2.262342305649575E-5</v>
      </c>
      <c r="E39" s="17">
        <f>N39</f>
        <v>1.883520054739438E-5</v>
      </c>
      <c r="F39" s="17">
        <f>O39</f>
        <v>1.627690117505497E-5</v>
      </c>
      <c r="G39" s="31">
        <f t="shared" ref="G39:J46" si="7">P39</f>
        <v>1.7064694773534509E-5</v>
      </c>
      <c r="H39" s="9">
        <f t="shared" si="7"/>
        <v>1.762159998940327E-5</v>
      </c>
      <c r="I39" s="9">
        <f t="shared" si="7"/>
        <v>1.971249509718208E-5</v>
      </c>
      <c r="J39" s="18">
        <f>I39*(1+J37/100)</f>
        <v>1.9884104012026996E-5</v>
      </c>
      <c r="L39" s="1" t="s">
        <v>52</v>
      </c>
      <c r="M39" s="26">
        <f>INDEX(m!$B$2:$AX$50,MATCH('table (2)'!$L39,m!$A$2:$A$50,0),MATCH('table (2)'!M$4,m!$B$1:$AX$1,0))</f>
        <v>2.262342305649575E-5</v>
      </c>
      <c r="N39" s="26">
        <f>INDEX(m!$B$2:$AX$50,MATCH('table (2)'!$L39,m!$A$2:$A$50,0),MATCH('table (2)'!N$4,m!$B$1:$AX$1,0))</f>
        <v>1.883520054739438E-5</v>
      </c>
      <c r="O39" s="26">
        <f>INDEX(m!$B$2:$AX$50,MATCH('table (2)'!$L39,m!$A$2:$A$50,0),MATCH('table (2)'!O$4,m!$B$1:$AX$1,0))</f>
        <v>1.627690117505497E-5</v>
      </c>
      <c r="P39" s="26">
        <f>INDEX(m!$B$2:$AX$50,MATCH('table (2)'!$L39,m!$A$2:$A$50,0),MATCH('table (2)'!P$4,m!$B$1:$AX$1,0))</f>
        <v>1.7064694773534509E-5</v>
      </c>
      <c r="Q39" s="26">
        <f>INDEX(m!$B$2:$AX$50,MATCH('table (2)'!$L39,m!$A$2:$A$50,0),MATCH('table (2)'!Q$4,m!$B$1:$AX$1,0))</f>
        <v>1.762159998940327E-5</v>
      </c>
      <c r="R39" s="26">
        <f>INDEX(m!$B$2:$AX$50,MATCH('table (2)'!$L39,m!$A$2:$A$50,0),MATCH('table (2)'!R$4,m!$B$1:$AX$1,0))</f>
        <v>1.971249509718208E-5</v>
      </c>
      <c r="S39" s="26">
        <f>INDEX(m!$B$2:$AZ$50,MATCH('table (2)'!$L39,m!$A$2:$A$50,0),MATCH('table (2)'!S$4,m!$B$1:$AZ$1,0))</f>
        <v>1.9402981388315219E-5</v>
      </c>
      <c r="T39" s="26"/>
      <c r="U39">
        <v>17.420560329691909</v>
      </c>
    </row>
    <row r="40" spans="2:32" ht="15.6" x14ac:dyDescent="0.3">
      <c r="B40" s="16" t="s">
        <v>148</v>
      </c>
      <c r="C40" s="19" t="s">
        <v>93</v>
      </c>
      <c r="D40" s="17">
        <f>M40</f>
        <v>1.636769475889529</v>
      </c>
      <c r="E40" s="17">
        <f>N40</f>
        <v>5.0327097296992314</v>
      </c>
      <c r="F40" s="17">
        <f>O40</f>
        <v>7.4221129488150934</v>
      </c>
      <c r="G40" s="31">
        <f t="shared" si="7"/>
        <v>5.1220452079246659</v>
      </c>
      <c r="H40" s="28">
        <f>Q40</f>
        <v>2.642053784177345</v>
      </c>
      <c r="I40" s="28">
        <f t="shared" si="7"/>
        <v>5.6194992525172003</v>
      </c>
      <c r="J40" s="28">
        <f t="shared" si="7"/>
        <v>5.9409693169900804</v>
      </c>
      <c r="L40" s="1"/>
      <c r="M40" s="38">
        <f>INDEX(q!$B$2:$S$5,MATCH("gdp_q4",q!$A$2:$A$5,0),MATCH(M3,q!$B$1:$S$1,0))</f>
        <v>1.636769475889529</v>
      </c>
      <c r="N40" s="38">
        <f>INDEX(q!$B$2:$S$5,MATCH("gdp_q4",q!$A$2:$A$5,0),MATCH(N3,q!$B$1:$S$1,0))</f>
        <v>5.0327097296992314</v>
      </c>
      <c r="O40" s="38">
        <f>INDEX(q!$B$2:$S$5,MATCH("gdp_q4",q!$A$2:$A$5,0),MATCH(O3,q!$B$1:$S$1,0))</f>
        <v>7.4221129488150934</v>
      </c>
      <c r="P40" s="38">
        <f>INDEX(q!$B$2:$S$5,MATCH("gdp_q4",q!$A$2:$A$5,0),MATCH(P3,q!$B$1:$S$1,0))</f>
        <v>5.1220452079246659</v>
      </c>
      <c r="Q40" s="38">
        <f>INDEX(q!$B$2:$S$5,MATCH("gdp_q1",q!$A$2:$A$5,0),MATCH(Q3,q!$B$1:$S$1,0))</f>
        <v>2.642053784177345</v>
      </c>
      <c r="R40" s="38">
        <f>INDEX(q!$B$2:$S$5,MATCH("gdp_q2",q!$A$2:$A$5,0),MATCH(R3,q!$B$1:$S$1,0))</f>
        <v>5.6194992525172003</v>
      </c>
      <c r="S40" s="38">
        <f>INDEX(q!$B$2:$S$5,MATCH("gdp_q3",q!$A$2:$A$5,0),MATCH(S3,q!$B$1:$S$1,0))</f>
        <v>5.9409693169900804</v>
      </c>
      <c r="T40" s="15"/>
      <c r="U40">
        <v>-16.17404375421351</v>
      </c>
      <c r="V40">
        <v>-6.1173513504038164</v>
      </c>
      <c r="W40">
        <v>-6.0692057800063308</v>
      </c>
    </row>
    <row r="41" spans="2:32" ht="15.6" x14ac:dyDescent="0.3">
      <c r="B41" s="7" t="s">
        <v>138</v>
      </c>
      <c r="C41" s="10" t="s">
        <v>93</v>
      </c>
      <c r="D41" s="8">
        <f>M41</f>
        <v>37.043533847682603</v>
      </c>
      <c r="E41" s="8">
        <f>N41</f>
        <v>30.430228623558659</v>
      </c>
      <c r="F41" s="8">
        <f>O41</f>
        <v>30.747672926007191</v>
      </c>
      <c r="G41" s="30">
        <f t="shared" si="7"/>
        <v>29.061960728097571</v>
      </c>
      <c r="H41" s="9">
        <f t="shared" si="7"/>
        <v>-16.17404375421351</v>
      </c>
      <c r="I41" s="9">
        <f t="shared" si="7"/>
        <v>-6.1173513504038164</v>
      </c>
      <c r="J41" s="9">
        <f t="shared" si="7"/>
        <v>-2.261732903910068</v>
      </c>
      <c r="L41" s="1" t="s">
        <v>53</v>
      </c>
      <c r="M41" s="26">
        <f>INDEX(m!$B$2:$AX$50,MATCH('table (2)'!$L41,m!$A$2:$A$50,0),MATCH('table (2)'!M$4,m!$B$1:$AX$1,0))</f>
        <v>37.043533847682603</v>
      </c>
      <c r="N41" s="26">
        <f>INDEX(m!$B$2:$AX$50,MATCH('table (2)'!$L41,m!$A$2:$A$50,0),MATCH('table (2)'!N$4,m!$B$1:$AX$1,0))</f>
        <v>30.430228623558659</v>
      </c>
      <c r="O41" s="26">
        <f>INDEX(m!$B$2:$AX$50,MATCH('table (2)'!$L41,m!$A$2:$A$50,0),MATCH('table (2)'!O$4,m!$B$1:$AX$1,0))</f>
        <v>30.747672926007191</v>
      </c>
      <c r="P41" s="26">
        <f>INDEX(m!$B$2:$AX$50,MATCH('table (2)'!$L41,m!$A$2:$A$50,0),MATCH('table (2)'!P$4,m!$B$1:$AX$1,0))</f>
        <v>29.061960728097571</v>
      </c>
      <c r="Q41" s="26">
        <f>INDEX(m!$B$2:$AX$50,MATCH('table (2)'!$L41,m!$A$2:$A$50,0),MATCH('table (2)'!Q$4,m!$B$1:$AX$1,0))</f>
        <v>-16.17404375421351</v>
      </c>
      <c r="R41" s="26">
        <f>INDEX(m!$B$2:$AX$50,MATCH('table (2)'!$L41,m!$A$2:$A$50,0),MATCH('table (2)'!R$4,m!$B$1:$AX$1,0))</f>
        <v>-6.1173513504038164</v>
      </c>
      <c r="S41" s="26">
        <f>INDEX(m!$B$2:$AZ$50,MATCH('table (2)'!$L41,m!$A$2:$A$50,0),MATCH('table (2)'!S$4,m!$B$1:$AZ$1,0))</f>
        <v>-2.261732903910068</v>
      </c>
      <c r="T41" s="26"/>
      <c r="U41">
        <v>6.4322552338289309</v>
      </c>
      <c r="V41">
        <v>14.03279215232495</v>
      </c>
      <c r="W41">
        <v>16.578317410023949</v>
      </c>
    </row>
    <row r="42" spans="2:32" ht="15.6" x14ac:dyDescent="0.3">
      <c r="B42" s="7"/>
      <c r="C42" s="10" t="s">
        <v>149</v>
      </c>
      <c r="D42" s="8">
        <f>M42</f>
        <v>14.25523492231437</v>
      </c>
      <c r="E42" s="8">
        <f>N42</f>
        <v>18.593135499999999</v>
      </c>
      <c r="F42" s="8">
        <f>O42</f>
        <v>24.310091990229331</v>
      </c>
      <c r="G42" s="30">
        <f t="shared" si="7"/>
        <v>31.375081377394171</v>
      </c>
      <c r="H42" s="9">
        <f t="shared" si="7"/>
        <v>6.4322552338289309</v>
      </c>
      <c r="I42" s="9">
        <f t="shared" si="7"/>
        <v>14.03279215232495</v>
      </c>
      <c r="J42" s="9">
        <f t="shared" si="7"/>
        <v>22.244011553627679</v>
      </c>
      <c r="L42" s="1" t="s">
        <v>54</v>
      </c>
      <c r="M42" s="26">
        <f>INDEX(m!$B$2:$AX$50,MATCH('table (2)'!$L42,m!$A$2:$A$50,0),MATCH('table (2)'!M$4,m!$B$1:$AX$1,0))</f>
        <v>14.25523492231437</v>
      </c>
      <c r="N42" s="26">
        <f>INDEX(m!$B$2:$AX$50,MATCH('table (2)'!$L42,m!$A$2:$A$50,0),MATCH('table (2)'!N$4,m!$B$1:$AX$1,0))</f>
        <v>18.593135499999999</v>
      </c>
      <c r="O42" s="26">
        <f>INDEX(m!$B$2:$AX$50,MATCH('table (2)'!$L42,m!$A$2:$A$50,0),MATCH('table (2)'!O$4,m!$B$1:$AX$1,0))</f>
        <v>24.310091990229331</v>
      </c>
      <c r="P42" s="26">
        <f>INDEX(m!$B$2:$AX$50,MATCH('table (2)'!$L42,m!$A$2:$A$50,0),MATCH('table (2)'!P$4,m!$B$1:$AX$1,0))</f>
        <v>31.375081377394171</v>
      </c>
      <c r="Q42" s="26">
        <f>INDEX(m!$B$2:$AX$50,MATCH('table (2)'!$L42,m!$A$2:$A$50,0),MATCH('table (2)'!Q$4,m!$B$1:$AX$1,0))</f>
        <v>6.4322552338289309</v>
      </c>
      <c r="R42" s="26">
        <f>INDEX(m!$B$2:$AX$50,MATCH('table (2)'!$L42,m!$A$2:$A$50,0),MATCH('table (2)'!R$4,m!$B$1:$AX$1,0))</f>
        <v>14.03279215232495</v>
      </c>
      <c r="S42" s="26">
        <f>INDEX(m!$B$2:$AZ$50,MATCH('table (2)'!$L42,m!$A$2:$A$50,0),MATCH('table (2)'!S$4,m!$B$1:$AZ$1,0))</f>
        <v>22.244011553627679</v>
      </c>
      <c r="T42" s="26"/>
      <c r="U42">
        <v>7.8004660416813856</v>
      </c>
    </row>
    <row r="43" spans="2:32" ht="15.6" x14ac:dyDescent="0.3">
      <c r="B43" s="16"/>
      <c r="C43" s="19" t="s">
        <v>100</v>
      </c>
      <c r="D43" s="17">
        <f>M43</f>
        <v>32.728909082194598</v>
      </c>
      <c r="E43" s="17">
        <f>N43</f>
        <v>34.526652312686501</v>
      </c>
      <c r="F43" s="17">
        <f>O43</f>
        <v>34.511029014112019</v>
      </c>
      <c r="G43" s="31">
        <f t="shared" si="7"/>
        <v>38.896472410142501</v>
      </c>
      <c r="H43" s="18">
        <f t="shared" si="7"/>
        <v>7.890486282645556</v>
      </c>
      <c r="I43" s="18">
        <f t="shared" si="7"/>
        <v>16.721642300707359</v>
      </c>
      <c r="J43" s="18">
        <f>J42/J66*100</f>
        <v>27.286863107020864</v>
      </c>
      <c r="L43" s="1" t="s">
        <v>55</v>
      </c>
      <c r="M43" s="26">
        <f>INDEX(m!$B$2:$AX$50,MATCH('table (2)'!$L43,m!$A$2:$A$50,0),MATCH('table (2)'!M$4,m!$B$1:$AX$1,0))</f>
        <v>32.728909082194598</v>
      </c>
      <c r="N43" s="26">
        <f>INDEX(m!$B$2:$AX$50,MATCH('table (2)'!$L43,m!$A$2:$A$50,0),MATCH('table (2)'!N$4,m!$B$1:$AX$1,0))</f>
        <v>34.526652312686501</v>
      </c>
      <c r="O43" s="26">
        <f>INDEX(m!$B$2:$AX$50,MATCH('table (2)'!$L43,m!$A$2:$A$50,0),MATCH('table (2)'!O$4,m!$B$1:$AX$1,0))</f>
        <v>34.511029014112019</v>
      </c>
      <c r="P43" s="26">
        <f>INDEX(m!$B$2:$AX$50,MATCH('table (2)'!$L43,m!$A$2:$A$50,0),MATCH('table (2)'!P$4,m!$B$1:$AX$1,0))</f>
        <v>38.896472410142501</v>
      </c>
      <c r="Q43" s="26">
        <f>INDEX(m!$B$2:$AX$50,MATCH('table (2)'!$L43,m!$A$2:$A$50,0),MATCH('table (2)'!Q$4,m!$B$1:$AX$1,0))</f>
        <v>7.890486282645556</v>
      </c>
      <c r="R43" s="26">
        <f>INDEX(m!$B$2:$AX$50,MATCH('table (2)'!$L43,m!$A$2:$A$50,0),MATCH('table (2)'!R$4,m!$B$1:$AX$1,0))</f>
        <v>16.721642300707359</v>
      </c>
      <c r="S43" s="26">
        <f>INDEX(m!$B$2:$AZ$50,MATCH('table (2)'!$L43,m!$A$2:$A$50,0),MATCH('table (2)'!S$4,m!$B$1:$AZ$1,0))</f>
        <v>26.059574379220681</v>
      </c>
      <c r="T43" s="26"/>
      <c r="U43">
        <v>14.1752286846001</v>
      </c>
      <c r="V43">
        <v>8.2264630704328976</v>
      </c>
      <c r="W43">
        <v>10.653317610205001</v>
      </c>
      <c r="AD43" s="35">
        <f>G46*$AD$25/100</f>
        <v>30.687739814292243</v>
      </c>
    </row>
    <row r="44" spans="2:32" ht="15.6" x14ac:dyDescent="0.3">
      <c r="B44" s="7" t="s">
        <v>139</v>
      </c>
      <c r="C44" s="10" t="s">
        <v>93</v>
      </c>
      <c r="D44" s="8">
        <f>M44</f>
        <v>11.728151918840631</v>
      </c>
      <c r="E44" s="8">
        <f>N44</f>
        <v>16.53833950569874</v>
      </c>
      <c r="F44" s="8">
        <f>O44</f>
        <v>23.52699747356041</v>
      </c>
      <c r="G44" s="30">
        <f t="shared" si="7"/>
        <v>35.231170237768438</v>
      </c>
      <c r="H44" s="9">
        <f t="shared" si="7"/>
        <v>14.1752286846001</v>
      </c>
      <c r="I44" s="9">
        <f>R44</f>
        <v>8.2264630704328976</v>
      </c>
      <c r="J44" s="9">
        <f>S44</f>
        <v>11.28382118830339</v>
      </c>
      <c r="L44" s="1" t="s">
        <v>56</v>
      </c>
      <c r="M44" s="26">
        <f>INDEX(m!$B$2:$AX$50,MATCH('table (2)'!$L44,m!$A$2:$A$50,0),MATCH('table (2)'!M$4,m!$B$1:$AX$1,0))</f>
        <v>11.728151918840631</v>
      </c>
      <c r="N44" s="26">
        <f>INDEX(m!$B$2:$AX$50,MATCH('table (2)'!$L44,m!$A$2:$A$50,0),MATCH('table (2)'!N$4,m!$B$1:$AX$1,0))</f>
        <v>16.53833950569874</v>
      </c>
      <c r="O44" s="26">
        <f>INDEX(m!$B$2:$AX$50,MATCH('table (2)'!$L44,m!$A$2:$A$50,0),MATCH('table (2)'!O$4,m!$B$1:$AX$1,0))</f>
        <v>23.52699747356041</v>
      </c>
      <c r="P44" s="26">
        <f>INDEX(m!$B$2:$AX$50,MATCH('table (2)'!$L44,m!$A$2:$A$50,0),MATCH('table (2)'!P$4,m!$B$1:$AX$1,0))</f>
        <v>35.231170237768438</v>
      </c>
      <c r="Q44" s="26">
        <f>INDEX(m!$B$2:$AX$50,MATCH('table (2)'!$L44,m!$A$2:$A$50,0),MATCH('table (2)'!Q$4,m!$B$1:$AX$1,0))</f>
        <v>14.1752286846001</v>
      </c>
      <c r="R44" s="26">
        <f>INDEX(m!$B$2:$AX$50,MATCH('table (2)'!$L44,m!$A$2:$A$50,0),MATCH('table (2)'!R$4,m!$B$1:$AX$1,0))</f>
        <v>8.2264630704328976</v>
      </c>
      <c r="S44" s="26">
        <f>INDEX(m!$B$2:$AZ$50,MATCH('table (2)'!$L44,m!$A$2:$A$50,0),MATCH('table (2)'!S$4,m!$B$1:$AZ$1,0))</f>
        <v>11.28382118830339</v>
      </c>
      <c r="T44" s="26"/>
      <c r="U44">
        <v>6.5026678671519198</v>
      </c>
      <c r="V44">
        <v>13.973440625050101</v>
      </c>
      <c r="W44">
        <v>16.88757054832196</v>
      </c>
      <c r="AD44" s="35"/>
    </row>
    <row r="45" spans="2:32" ht="15.6" x14ac:dyDescent="0.3">
      <c r="B45" s="7"/>
      <c r="C45" s="10" t="s">
        <v>149</v>
      </c>
      <c r="D45" s="8">
        <f>M45</f>
        <v>15.598129831866281</v>
      </c>
      <c r="E45" s="8">
        <f>N45</f>
        <v>18.177801500000001</v>
      </c>
      <c r="F45" s="8">
        <f>O45</f>
        <v>22.45449239965383</v>
      </c>
      <c r="G45" s="30">
        <f t="shared" si="7"/>
        <v>30.365472843002639</v>
      </c>
      <c r="H45" s="9">
        <f t="shared" si="7"/>
        <v>6.5026678671519198</v>
      </c>
      <c r="I45" s="9">
        <f>R45</f>
        <v>13.973440625050101</v>
      </c>
      <c r="J45" s="9">
        <f>S45</f>
        <v>22.058169207093702</v>
      </c>
      <c r="L45" s="1" t="s">
        <v>57</v>
      </c>
      <c r="M45" s="26">
        <f>INDEX(m!$B$2:$AX$50,MATCH('table (2)'!$L45,m!$A$2:$A$50,0),MATCH('table (2)'!M$4,m!$B$1:$AX$1,0))</f>
        <v>15.598129831866281</v>
      </c>
      <c r="N45" s="26">
        <f>INDEX(m!$B$2:$AX$50,MATCH('table (2)'!$L45,m!$A$2:$A$50,0),MATCH('table (2)'!N$4,m!$B$1:$AX$1,0))</f>
        <v>18.177801500000001</v>
      </c>
      <c r="O45" s="26">
        <f>INDEX(m!$B$2:$AX$50,MATCH('table (2)'!$L45,m!$A$2:$A$50,0),MATCH('table (2)'!O$4,m!$B$1:$AX$1,0))</f>
        <v>22.45449239965383</v>
      </c>
      <c r="P45" s="26">
        <f>INDEX(m!$B$2:$AX$50,MATCH('table (2)'!$L45,m!$A$2:$A$50,0),MATCH('table (2)'!P$4,m!$B$1:$AX$1,0))</f>
        <v>30.365472843002639</v>
      </c>
      <c r="Q45" s="26">
        <f>INDEX(m!$B$2:$AX$50,MATCH('table (2)'!$L45,m!$A$2:$A$50,0),MATCH('table (2)'!Q$4,m!$B$1:$AX$1,0))</f>
        <v>6.5026678671519198</v>
      </c>
      <c r="R45" s="26">
        <f>INDEX(m!$B$2:$AX$50,MATCH('table (2)'!$L45,m!$A$2:$A$50,0),MATCH('table (2)'!R$4,m!$B$1:$AX$1,0))</f>
        <v>13.973440625050101</v>
      </c>
      <c r="S45" s="26">
        <f>INDEX(m!$B$2:$AZ$50,MATCH('table (2)'!$L45,m!$A$2:$A$50,0),MATCH('table (2)'!S$4,m!$B$1:$AZ$1,0))</f>
        <v>22.058169207093702</v>
      </c>
      <c r="T45" s="26"/>
      <c r="U45">
        <v>7.8858562096978364</v>
      </c>
      <c r="AD45" s="35"/>
    </row>
    <row r="46" spans="2:32" ht="15.6" x14ac:dyDescent="0.3">
      <c r="B46" s="16"/>
      <c r="C46" s="19" t="s">
        <v>100</v>
      </c>
      <c r="D46" s="17">
        <f>M46</f>
        <v>35.812091200285643</v>
      </c>
      <c r="E46" s="17">
        <f>N46</f>
        <v>33.755394952052661</v>
      </c>
      <c r="F46" s="17">
        <f>O46</f>
        <v>31.87678759146895</v>
      </c>
      <c r="G46" s="31">
        <f t="shared" si="7"/>
        <v>37.644835481120893</v>
      </c>
      <c r="H46" s="18">
        <f t="shared" si="7"/>
        <v>7.976861884539896</v>
      </c>
      <c r="I46" s="18">
        <f t="shared" si="7"/>
        <v>16.65091831375468</v>
      </c>
      <c r="J46" s="18">
        <f>J45/J66*100</f>
        <v>27.058889179874924</v>
      </c>
      <c r="L46" s="1" t="s">
        <v>58</v>
      </c>
      <c r="M46" s="26">
        <f>INDEX(m!$B$2:$AX$50,MATCH('table (2)'!$L46,m!$A$2:$A$50,0),MATCH('table (2)'!M$4,m!$B$1:$AX$1,0))</f>
        <v>35.812091200285643</v>
      </c>
      <c r="N46" s="26">
        <f>INDEX(m!$B$2:$AX$50,MATCH('table (2)'!$L46,m!$A$2:$A$50,0),MATCH('table (2)'!N$4,m!$B$1:$AX$1,0))</f>
        <v>33.755394952052661</v>
      </c>
      <c r="O46" s="26">
        <f>INDEX(m!$B$2:$AX$50,MATCH('table (2)'!$L46,m!$A$2:$A$50,0),MATCH('table (2)'!O$4,m!$B$1:$AX$1,0))</f>
        <v>31.87678759146895</v>
      </c>
      <c r="P46" s="26">
        <f>INDEX(m!$B$2:$AX$50,MATCH('table (2)'!$L46,m!$A$2:$A$50,0),MATCH('table (2)'!P$4,m!$B$1:$AX$1,0))</f>
        <v>37.644835481120893</v>
      </c>
      <c r="Q46" s="26">
        <f>INDEX(m!$B$2:$AX$50,MATCH('table (2)'!$L46,m!$A$2:$A$50,0),MATCH('table (2)'!Q$4,m!$B$1:$AX$1,0))</f>
        <v>7.976861884539896</v>
      </c>
      <c r="R46" s="26">
        <f>INDEX(m!$B$2:$AX$50,MATCH('table (2)'!$L46,m!$A$2:$A$50,0),MATCH('table (2)'!R$4,m!$B$1:$AX$1,0))</f>
        <v>16.65091831375468</v>
      </c>
      <c r="S46" s="26">
        <f>INDEX(m!$B$2:$AZ$50,MATCH('table (2)'!$L46,m!$A$2:$A$50,0),MATCH('table (2)'!S$4,m!$B$1:$AZ$1,0))</f>
        <v>25.84185409793799</v>
      </c>
      <c r="T46" s="26"/>
      <c r="U46">
        <v>-17.651839540809672</v>
      </c>
      <c r="V46">
        <v>-16.545440776305451</v>
      </c>
      <c r="W46">
        <v>-16.342916169506001</v>
      </c>
    </row>
    <row r="47" spans="2:32" ht="15.6" x14ac:dyDescent="0.3">
      <c r="B47" s="7" t="s">
        <v>146</v>
      </c>
      <c r="C47" s="10" t="s">
        <v>149</v>
      </c>
      <c r="D47" s="8">
        <f>D42-D45</f>
        <v>-1.3428949095519105</v>
      </c>
      <c r="E47" s="8">
        <f t="shared" ref="E47:J48" si="8">E42-E45</f>
        <v>0.41533399999999787</v>
      </c>
      <c r="F47" s="8">
        <f t="shared" si="8"/>
        <v>1.8555995905755012</v>
      </c>
      <c r="G47" s="30">
        <f t="shared" si="8"/>
        <v>1.009608534391532</v>
      </c>
      <c r="H47" s="30">
        <f t="shared" si="8"/>
        <v>-7.041263332298886E-2</v>
      </c>
      <c r="I47" s="30">
        <f t="shared" si="8"/>
        <v>5.9351527274849047E-2</v>
      </c>
      <c r="J47" s="30">
        <f t="shared" si="8"/>
        <v>0.18584234653397758</v>
      </c>
      <c r="L47" s="1"/>
      <c r="M47" s="26"/>
      <c r="N47" s="26"/>
      <c r="O47" s="26"/>
      <c r="P47" s="26"/>
      <c r="Q47" s="26"/>
      <c r="U47">
        <v>3.0129999999999999</v>
      </c>
      <c r="V47">
        <v>6.5813934494990001</v>
      </c>
      <c r="W47">
        <v>7.7515400000000012</v>
      </c>
    </row>
    <row r="48" spans="2:32" ht="15.6" x14ac:dyDescent="0.3">
      <c r="B48" s="7"/>
      <c r="C48" s="10" t="s">
        <v>100</v>
      </c>
      <c r="D48" s="8">
        <f t="shared" ref="D48:I48" si="9">D43-D46</f>
        <v>-3.0831821180910453</v>
      </c>
      <c r="E48" s="8">
        <f t="shared" si="9"/>
        <v>0.77125736063383954</v>
      </c>
      <c r="F48" s="8">
        <f t="shared" si="9"/>
        <v>2.6342414226430684</v>
      </c>
      <c r="G48" s="30">
        <f t="shared" si="9"/>
        <v>1.2516369290216076</v>
      </c>
      <c r="H48" s="9">
        <f t="shared" si="9"/>
        <v>-8.6375601894340015E-2</v>
      </c>
      <c r="I48" s="9">
        <f t="shared" si="9"/>
        <v>7.0723986952678786E-2</v>
      </c>
      <c r="J48" s="9">
        <f t="shared" si="8"/>
        <v>0.22797392714593911</v>
      </c>
      <c r="L48" s="1"/>
      <c r="M48" s="26"/>
      <c r="N48" s="26"/>
      <c r="O48" s="26"/>
      <c r="P48" s="26"/>
      <c r="Q48" s="26"/>
      <c r="U48">
        <v>12.74337101357885</v>
      </c>
    </row>
    <row r="49" spans="2:23" ht="15.6" x14ac:dyDescent="0.3">
      <c r="B49" s="21" t="s">
        <v>91</v>
      </c>
      <c r="C49" s="22" t="s">
        <v>93</v>
      </c>
      <c r="D49" s="23">
        <f>M49</f>
        <v>22.052796135247569</v>
      </c>
      <c r="E49" s="23">
        <f>N49</f>
        <v>35.61407456313318</v>
      </c>
      <c r="F49" s="23">
        <f>O49</f>
        <v>21.084528044127971</v>
      </c>
      <c r="G49" s="32">
        <f t="shared" ref="G49:I62" si="10">P49</f>
        <v>3.9443729567022952</v>
      </c>
      <c r="H49" s="24">
        <f t="shared" si="10"/>
        <v>-17.651839540809672</v>
      </c>
      <c r="I49" s="24">
        <f>R49</f>
        <v>-16.545440776305451</v>
      </c>
      <c r="J49" s="24">
        <f>S49</f>
        <v>-9.1155408025039755</v>
      </c>
      <c r="L49" s="1" t="s">
        <v>59</v>
      </c>
      <c r="M49" s="26">
        <f>INDEX(m!$B$2:$AX$50,MATCH('table (2)'!$L49,m!$A$2:$A$50,0),MATCH('table (2)'!M$4,m!$B$1:$AX$1,0))</f>
        <v>22.052796135247569</v>
      </c>
      <c r="N49" s="26">
        <f>INDEX(m!$B$2:$AX$50,MATCH('table (2)'!$L49,m!$A$2:$A$50,0),MATCH('table (2)'!N$4,m!$B$1:$AX$1,0))</f>
        <v>35.61407456313318</v>
      </c>
      <c r="O49" s="26">
        <f>INDEX(m!$B$2:$AX$50,MATCH('table (2)'!$L49,m!$A$2:$A$50,0),MATCH('table (2)'!O$4,m!$B$1:$AX$1,0))</f>
        <v>21.084528044127971</v>
      </c>
      <c r="P49" s="26">
        <f>INDEX(m!$B$2:$AX$50,MATCH('table (2)'!$L49,m!$A$2:$A$50,0),MATCH('table (2)'!P$4,m!$B$1:$AX$1,0))</f>
        <v>3.9443729567022952</v>
      </c>
      <c r="Q49" s="26">
        <f>INDEX(m!$B$2:$AX$50,MATCH('table (2)'!$L49,m!$A$2:$A$50,0),MATCH('table (2)'!Q$4,m!$B$1:$AX$1,0))</f>
        <v>-17.651839540809672</v>
      </c>
      <c r="R49" s="26">
        <f>INDEX(m!$B$2:$AX$50,MATCH('table (2)'!$L49,m!$A$2:$A$50,0),MATCH('table (2)'!R$4,m!$B$1:$AX$1,0))</f>
        <v>-16.545440776305451</v>
      </c>
      <c r="S49" s="26">
        <f>INDEX(m!$B$2:$AZ$50,MATCH('table (2)'!$L49,m!$A$2:$A$50,0),MATCH('table (2)'!S$4,m!$B$1:$AZ$1,0))</f>
        <v>-9.1155408025039755</v>
      </c>
      <c r="T49" s="26"/>
      <c r="U49">
        <v>17533.189999999999</v>
      </c>
      <c r="V49">
        <v>37875.07</v>
      </c>
      <c r="W49">
        <v>44412.65</v>
      </c>
    </row>
    <row r="50" spans="2:23" ht="15.6" x14ac:dyDescent="0.3">
      <c r="B50" s="7"/>
      <c r="C50" s="10" t="s">
        <v>150</v>
      </c>
      <c r="D50" s="8">
        <f>M50</f>
        <v>9.247109734503999</v>
      </c>
      <c r="E50" s="8">
        <f>N50</f>
        <v>12.540382290285001</v>
      </c>
      <c r="F50" s="8">
        <f>O50</f>
        <v>15.184462711121</v>
      </c>
      <c r="G50" s="30">
        <f t="shared" si="10"/>
        <v>15.783394551919001</v>
      </c>
      <c r="H50" s="9">
        <f t="shared" si="10"/>
        <v>3.0129999999999999</v>
      </c>
      <c r="I50" s="9">
        <f>R50</f>
        <v>6.5813934494990001</v>
      </c>
      <c r="J50" s="9">
        <f>S50</f>
        <v>10.708600549052001</v>
      </c>
      <c r="L50" s="1" t="s">
        <v>60</v>
      </c>
      <c r="M50" s="26">
        <f>INDEX(m!$B$2:$AX$50,MATCH('table (2)'!$L50,m!$A$2:$A$50,0),MATCH('table (2)'!M$4,m!$B$1:$AX$1,0))</f>
        <v>9.247109734503999</v>
      </c>
      <c r="N50" s="26">
        <f>INDEX(m!$B$2:$AX$50,MATCH('table (2)'!$L50,m!$A$2:$A$50,0),MATCH('table (2)'!N$4,m!$B$1:$AX$1,0))</f>
        <v>12.540382290285001</v>
      </c>
      <c r="O50" s="26">
        <f>INDEX(m!$B$2:$AX$50,MATCH('table (2)'!$L50,m!$A$2:$A$50,0),MATCH('table (2)'!O$4,m!$B$1:$AX$1,0))</f>
        <v>15.184462711121</v>
      </c>
      <c r="P50" s="26">
        <f>INDEX(m!$B$2:$AX$50,MATCH('table (2)'!$L50,m!$A$2:$A$50,0),MATCH('table (2)'!P$4,m!$B$1:$AX$1,0))</f>
        <v>15.783394551919001</v>
      </c>
      <c r="Q50" s="26">
        <f>INDEX(m!$B$2:$AX$50,MATCH('table (2)'!$L50,m!$A$2:$A$50,0),MATCH('table (2)'!Q$4,m!$B$1:$AX$1,0))</f>
        <v>3.0129999999999999</v>
      </c>
      <c r="R50" s="26">
        <f>INDEX(m!$B$2:$AX$50,MATCH('table (2)'!$L50,m!$A$2:$A$50,0),MATCH('table (2)'!R$4,m!$B$1:$AX$1,0))</f>
        <v>6.5813934494990001</v>
      </c>
      <c r="S50" s="26">
        <f>INDEX(m!$B$2:$AZ$50,MATCH('table (2)'!$L50,m!$A$2:$A$50,0),MATCH('table (2)'!S$4,m!$B$1:$AZ$1,0))</f>
        <v>10.708600549052001</v>
      </c>
      <c r="T50" s="26"/>
      <c r="U50">
        <v>1342184.92</v>
      </c>
      <c r="V50">
        <v>2652822.88</v>
      </c>
      <c r="W50">
        <v>3020492.52</v>
      </c>
    </row>
    <row r="51" spans="2:23" ht="15.6" x14ac:dyDescent="0.3">
      <c r="B51" s="16"/>
      <c r="C51" s="19" t="s">
        <v>100</v>
      </c>
      <c r="D51" s="17">
        <f>M51</f>
        <v>60.493322375765622</v>
      </c>
      <c r="E51" s="17">
        <f>N51</f>
        <v>80.214228428174309</v>
      </c>
      <c r="F51" s="17">
        <f>O51</f>
        <v>73.521267199465925</v>
      </c>
      <c r="G51" s="31">
        <f t="shared" si="10"/>
        <v>66.928375581847092</v>
      </c>
      <c r="H51" s="18">
        <f t="shared" si="10"/>
        <v>12.89043419201054</v>
      </c>
      <c r="I51" s="18">
        <f>R51</f>
        <v>28.08340319978274</v>
      </c>
      <c r="J51" s="18">
        <f>J50/J67*100</f>
        <v>45.81430821974206</v>
      </c>
      <c r="L51" s="1" t="s">
        <v>61</v>
      </c>
      <c r="M51" s="26">
        <f>INDEX(m!$B$2:$AX$50,MATCH('table (2)'!$L51,m!$A$2:$A$50,0),MATCH('table (2)'!M$4,m!$B$1:$AX$1,0))</f>
        <v>60.493322375765622</v>
      </c>
      <c r="N51" s="26">
        <f>INDEX(m!$B$2:$AX$50,MATCH('table (2)'!$L51,m!$A$2:$A$50,0),MATCH('table (2)'!N$4,m!$B$1:$AX$1,0))</f>
        <v>80.214228428174309</v>
      </c>
      <c r="O51" s="26">
        <f>INDEX(m!$B$2:$AX$50,MATCH('table (2)'!$L51,m!$A$2:$A$50,0),MATCH('table (2)'!O$4,m!$B$1:$AX$1,0))</f>
        <v>73.521267199465925</v>
      </c>
      <c r="P51" s="26">
        <f>INDEX(m!$B$2:$AX$50,MATCH('table (2)'!$L51,m!$A$2:$A$50,0),MATCH('table (2)'!P$4,m!$B$1:$AX$1,0))</f>
        <v>66.928375581847092</v>
      </c>
      <c r="Q51" s="26">
        <f>INDEX(m!$B$2:$AX$50,MATCH('table (2)'!$L51,m!$A$2:$A$50,0),MATCH('table (2)'!Q$4,m!$B$1:$AX$1,0))</f>
        <v>12.89043419201054</v>
      </c>
      <c r="R51" s="26">
        <f>INDEX(m!$B$2:$AX$50,MATCH('table (2)'!$L51,m!$A$2:$A$50,0),MATCH('table (2)'!R$4,m!$B$1:$AX$1,0))</f>
        <v>28.08340319978274</v>
      </c>
      <c r="S51" s="26">
        <f>INDEX(m!$B$2:$AZ$50,MATCH('table (2)'!$L51,m!$A$2:$A$50,0),MATCH('table (2)'!S$4,m!$B$1:$AZ$1,0))</f>
        <v>45.096447130156157</v>
      </c>
      <c r="T51" s="26"/>
      <c r="U51">
        <v>72.810406310244844</v>
      </c>
      <c r="V51">
        <v>60.580311883485649</v>
      </c>
      <c r="W51">
        <v>56.237259151736893</v>
      </c>
    </row>
    <row r="52" spans="2:23" ht="15.6" x14ac:dyDescent="0.3">
      <c r="B52" s="7" t="s">
        <v>143</v>
      </c>
      <c r="C52" s="10" t="s">
        <v>152</v>
      </c>
      <c r="D52" s="8">
        <f t="shared" ref="D52:F54" si="11">M52</f>
        <v>1.6117590000000001E-2</v>
      </c>
      <c r="E52" s="8">
        <f t="shared" si="11"/>
        <v>3.182157E-2</v>
      </c>
      <c r="F52" s="8">
        <f t="shared" si="11"/>
        <v>6.9612510000000002E-2</v>
      </c>
      <c r="G52" s="30">
        <f t="shared" si="10"/>
        <v>8.3754999999999996E-2</v>
      </c>
      <c r="H52" s="9">
        <f t="shared" si="10"/>
        <v>1.7533190000000001E-2</v>
      </c>
      <c r="I52" s="9">
        <f>R52</f>
        <v>3.7875070000000004E-2</v>
      </c>
      <c r="J52" s="9">
        <f>S52</f>
        <v>6.2616790000000006E-2</v>
      </c>
      <c r="L52" s="1" t="s">
        <v>140</v>
      </c>
      <c r="M52" s="25">
        <f>INDEX(m!$B$2:$AX$50,MATCH('table (2)'!$L52,m!$A$2:$A$50,0),MATCH('table (2)'!M$4,m!$B$1:$AX$1,0))/1000</f>
        <v>1.6117590000000001E-2</v>
      </c>
      <c r="N52" s="25">
        <f>INDEX(m!$B$2:$AX$50,MATCH('table (2)'!$L52,m!$A$2:$A$50,0),MATCH('table (2)'!N$4,m!$B$1:$AX$1,0))/1000</f>
        <v>3.182157E-2</v>
      </c>
      <c r="O52" s="25">
        <f>INDEX(m!$B$2:$AX$50,MATCH('table (2)'!$L52,m!$A$2:$A$50,0),MATCH('table (2)'!O$4,m!$B$1:$AX$1,0))/1000</f>
        <v>6.9612510000000002E-2</v>
      </c>
      <c r="P52" s="25">
        <f>INDEX(m!$B$2:$AX$50,MATCH('table (2)'!$L52,m!$A$2:$A$50,0),MATCH('table (2)'!P$4,m!$B$1:$AX$1,0))/1000</f>
        <v>8.3754999999999996E-2</v>
      </c>
      <c r="Q52" s="25">
        <f>INDEX(m!$B$2:$AZ$50,MATCH('table (2)'!$L52,m!$A$2:$A$50,0),MATCH('table (2)'!Q$4,m!$B$1:$AZ$1,0))/1000</f>
        <v>1.7533190000000001E-2</v>
      </c>
      <c r="R52" s="25">
        <f>INDEX(m!$B$2:$AZ$50,MATCH('table (2)'!$L52,m!$A$2:$A$50,0),MATCH('table (2)'!R$4,m!$B$1:$AZ$1,0))/1000</f>
        <v>3.7875070000000004E-2</v>
      </c>
      <c r="S52" s="25">
        <f>INDEX(m!$B$2:$AZ$50,MATCH('table (2)'!$L52,m!$A$2:$A$50,0),MATCH('table (2)'!S$4,m!$B$1:$AZ$1,0))/1000</f>
        <v>6.2616790000000006E-2</v>
      </c>
      <c r="T52" s="25"/>
      <c r="U52">
        <v>5.5387409080080383</v>
      </c>
      <c r="V52">
        <v>2.7851487908553532</v>
      </c>
      <c r="W52">
        <v>1.0867331881348621</v>
      </c>
    </row>
    <row r="53" spans="2:23" ht="15.6" x14ac:dyDescent="0.3">
      <c r="B53" s="7"/>
      <c r="C53" s="10" t="s">
        <v>151</v>
      </c>
      <c r="D53" s="8">
        <f t="shared" si="11"/>
        <v>2.7740732200000001E-6</v>
      </c>
      <c r="E53" s="8">
        <f t="shared" si="11"/>
        <v>6.5032481600000001E-6</v>
      </c>
      <c r="F53" s="8">
        <f t="shared" si="11"/>
        <v>8.8984519E-6</v>
      </c>
      <c r="G53" s="30">
        <f t="shared" si="10"/>
        <v>8.6979767899999977E-6</v>
      </c>
      <c r="H53" s="9">
        <f t="shared" si="10"/>
        <v>1.34218492E-6</v>
      </c>
      <c r="I53" s="9">
        <f>R53</f>
        <v>2.6528228799999998E-6</v>
      </c>
      <c r="J53" s="9">
        <f>S53</f>
        <v>4.0643692599999995E-6</v>
      </c>
      <c r="L53" s="1" t="s">
        <v>141</v>
      </c>
      <c r="M53" s="25">
        <f>INDEX(m!$B$2:$AX$50,MATCH('table (2)'!$L53,m!$A$2:$A$50,0),MATCH('table (2)'!M$4,m!$B$1:$AX$1,0))/1000000</f>
        <v>2.7740732200000001E-6</v>
      </c>
      <c r="N53" s="25">
        <f>INDEX(m!$B$2:$AX$50,MATCH('table (2)'!$L53,m!$A$2:$A$50,0),MATCH('table (2)'!N$4,m!$B$1:$AX$1,0))/1000000</f>
        <v>6.5032481600000001E-6</v>
      </c>
      <c r="O53" s="25">
        <f>INDEX(m!$B$2:$AX$50,MATCH('table (2)'!$L53,m!$A$2:$A$50,0),MATCH('table (2)'!O$4,m!$B$1:$AX$1,0))/1000000</f>
        <v>8.8984519E-6</v>
      </c>
      <c r="P53" s="25">
        <f>INDEX(m!$B$2:$AX$50,MATCH('table (2)'!$L53,m!$A$2:$A$50,0),MATCH('table (2)'!P$4,m!$B$1:$AX$1,0))/1000000</f>
        <v>8.6979767899999977E-6</v>
      </c>
      <c r="Q53" s="25">
        <f>INDEX(m!$B$2:$AZ$50,MATCH('table (2)'!$L53,m!$A$2:$A$50,0),MATCH('table (2)'!Q$4,m!$B$1:$AZ$1,0))/1000000</f>
        <v>1.34218492E-6</v>
      </c>
      <c r="R53" s="25">
        <f>INDEX(m!$B$2:$AZ$50,MATCH('table (2)'!$L53,m!$A$2:$A$50,0),MATCH('table (2)'!R$4,m!$B$1:$AZ$1,0))/1000000</f>
        <v>2.6528228799999998E-6</v>
      </c>
      <c r="S53" s="25">
        <f>INDEX(m!$B$2:$AZ$50,MATCH('table (2)'!$L53,m!$A$2:$A$50,0),MATCH('table (2)'!S$4,m!$B$1:$AZ$1,0))/1000000</f>
        <v>4.0643692599999995E-6</v>
      </c>
      <c r="T53" s="25"/>
      <c r="U53">
        <v>2.548</v>
      </c>
      <c r="V53">
        <v>5.5282272781120021</v>
      </c>
      <c r="W53">
        <v>6.4807999999999986</v>
      </c>
    </row>
    <row r="54" spans="2:23" ht="15.6" x14ac:dyDescent="0.3">
      <c r="B54" s="7"/>
      <c r="C54" s="10" t="s">
        <v>145</v>
      </c>
      <c r="D54" s="8">
        <f t="shared" si="11"/>
        <v>0.17211464120876632</v>
      </c>
      <c r="E54" s="8">
        <f t="shared" si="11"/>
        <v>0.20436603725083333</v>
      </c>
      <c r="F54" s="8">
        <f t="shared" si="11"/>
        <v>0.12782834435936874</v>
      </c>
      <c r="G54" s="30">
        <f t="shared" si="10"/>
        <v>0.10385023926929733</v>
      </c>
      <c r="H54" s="9">
        <f t="shared" si="10"/>
        <v>7.6551096520370787E-2</v>
      </c>
      <c r="I54" s="9">
        <f>R54</f>
        <v>7.004139873536866E-2</v>
      </c>
      <c r="J54" s="9">
        <f>S54</f>
        <v>59.279989345930957</v>
      </c>
      <c r="L54" s="1" t="s">
        <v>142</v>
      </c>
      <c r="M54" s="29">
        <f>M53/M52*1000</f>
        <v>0.17211464120876632</v>
      </c>
      <c r="N54" s="29">
        <f t="shared" ref="N54:R54" si="12">N53/N52*1000</f>
        <v>0.20436603725083333</v>
      </c>
      <c r="O54" s="29">
        <f t="shared" si="12"/>
        <v>0.12782834435936874</v>
      </c>
      <c r="P54" s="29">
        <f t="shared" si="12"/>
        <v>0.10385023926929733</v>
      </c>
      <c r="Q54" s="29">
        <f t="shared" si="12"/>
        <v>7.6551096520370787E-2</v>
      </c>
      <c r="R54" s="29">
        <f t="shared" si="12"/>
        <v>7.004139873536866E-2</v>
      </c>
      <c r="S54" s="26">
        <f>INDEX(m!$B$2:$AZ$50,MATCH('table (2)'!$L54,m!$A$2:$A$50,0),MATCH('table (2)'!S$4,m!$B$1:$AZ$1,0))</f>
        <v>59.279989345930957</v>
      </c>
      <c r="T54" s="29"/>
      <c r="U54">
        <v>10.776670873746729</v>
      </c>
    </row>
    <row r="55" spans="2:23" ht="15.6" x14ac:dyDescent="0.3">
      <c r="B55" s="21" t="s">
        <v>92</v>
      </c>
      <c r="C55" s="22" t="s">
        <v>93</v>
      </c>
      <c r="D55" s="23">
        <f>M55</f>
        <v>29.367602335557429</v>
      </c>
      <c r="E55" s="23">
        <f>N55</f>
        <v>27.096977262593501</v>
      </c>
      <c r="F55" s="23">
        <f>O55</f>
        <v>6.2964985784747514</v>
      </c>
      <c r="G55" s="32">
        <f t="shared" si="10"/>
        <v>25.506679552012919</v>
      </c>
      <c r="H55" s="24">
        <f t="shared" si="10"/>
        <v>5.5387409080080383</v>
      </c>
      <c r="I55" s="24">
        <f>R55</f>
        <v>2.7851487908553532</v>
      </c>
      <c r="J55" s="24">
        <f>S55</f>
        <v>-0.86484717021370927</v>
      </c>
      <c r="L55" s="1" t="s">
        <v>62</v>
      </c>
      <c r="M55" s="26">
        <f>INDEX(m!$B$2:$AX$50,MATCH('table (2)'!$L55,m!$A$2:$A$50,0),MATCH('table (2)'!M$4,m!$B$1:$AX$1,0))</f>
        <v>29.367602335557429</v>
      </c>
      <c r="N55" s="26">
        <f>INDEX(m!$B$2:$AX$50,MATCH('table (2)'!$L55,m!$A$2:$A$50,0),MATCH('table (2)'!N$4,m!$B$1:$AX$1,0))</f>
        <v>27.096977262593501</v>
      </c>
      <c r="O55" s="26">
        <f>INDEX(m!$B$2:$AX$50,MATCH('table (2)'!$L55,m!$A$2:$A$50,0),MATCH('table (2)'!O$4,m!$B$1:$AX$1,0))</f>
        <v>6.2964985784747514</v>
      </c>
      <c r="P55" s="26">
        <f>INDEX(m!$B$2:$AX$50,MATCH('table (2)'!$L55,m!$A$2:$A$50,0),MATCH('table (2)'!P$4,m!$B$1:$AX$1,0))</f>
        <v>25.506679552012919</v>
      </c>
      <c r="Q55" s="26">
        <f>INDEX(m!$B$2:$AX$50,MATCH('table (2)'!$L55,m!$A$2:$A$50,0),MATCH('table (2)'!Q$4,m!$B$1:$AX$1,0))</f>
        <v>5.5387409080080383</v>
      </c>
      <c r="R55" s="26">
        <f>INDEX(m!$B$2:$AX$50,MATCH('table (2)'!$L55,m!$A$2:$A$50,0),MATCH('table (2)'!R$4,m!$B$1:$AX$1,0))</f>
        <v>2.7851487908553532</v>
      </c>
      <c r="S55" s="26">
        <f>INDEX(m!$B$2:$AZ$50,MATCH('table (2)'!$L55,m!$A$2:$A$50,0),MATCH('table (2)'!S$4,m!$B$1:$AZ$1,0))</f>
        <v>-0.86484717021370927</v>
      </c>
      <c r="T55" s="26"/>
      <c r="U55">
        <v>4.9959700000000007</v>
      </c>
      <c r="V55">
        <v>5.2060700000000004</v>
      </c>
      <c r="W55">
        <v>5.3797499999999996</v>
      </c>
    </row>
    <row r="56" spans="2:23" ht="15.6" x14ac:dyDescent="0.3">
      <c r="B56" s="7"/>
      <c r="C56" s="10" t="s">
        <v>150</v>
      </c>
      <c r="D56" s="8">
        <f>M56</f>
        <v>6.8486424949539986</v>
      </c>
      <c r="E56" s="8">
        <f>N56</f>
        <v>8.7044175946080014</v>
      </c>
      <c r="F56" s="8">
        <f>O56</f>
        <v>9.2524911247170003</v>
      </c>
      <c r="G56" s="30">
        <f t="shared" si="10"/>
        <v>11.612494386477</v>
      </c>
      <c r="H56" s="9">
        <f t="shared" si="10"/>
        <v>2.548</v>
      </c>
      <c r="I56" s="9">
        <f>R56</f>
        <v>5.5282272781120021</v>
      </c>
      <c r="J56" s="9">
        <f>S56</f>
        <v>8.5338393656929998</v>
      </c>
      <c r="L56" s="1" t="s">
        <v>63</v>
      </c>
      <c r="M56" s="26">
        <f>INDEX(m!$B$2:$AX$50,MATCH('table (2)'!$L56,m!$A$2:$A$50,0),MATCH('table (2)'!M$4,m!$B$1:$AX$1,0))</f>
        <v>6.8486424949539986</v>
      </c>
      <c r="N56" s="26">
        <f>INDEX(m!$B$2:$AX$50,MATCH('table (2)'!$L56,m!$A$2:$A$50,0),MATCH('table (2)'!N$4,m!$B$1:$AX$1,0))</f>
        <v>8.7044175946080014</v>
      </c>
      <c r="O56" s="26">
        <f>INDEX(m!$B$2:$AX$50,MATCH('table (2)'!$L56,m!$A$2:$A$50,0),MATCH('table (2)'!O$4,m!$B$1:$AX$1,0))</f>
        <v>9.2524911247170003</v>
      </c>
      <c r="P56" s="26">
        <f>INDEX(m!$B$2:$AX$50,MATCH('table (2)'!$L56,m!$A$2:$A$50,0),MATCH('table (2)'!P$4,m!$B$1:$AX$1,0))</f>
        <v>11.612494386477</v>
      </c>
      <c r="Q56" s="26">
        <f>INDEX(m!$B$2:$AX$50,MATCH('table (2)'!$L56,m!$A$2:$A$50,0),MATCH('table (2)'!Q$4,m!$B$1:$AX$1,0))</f>
        <v>2.548</v>
      </c>
      <c r="R56" s="26">
        <f>INDEX(m!$B$2:$AX$50,MATCH('table (2)'!$L56,m!$A$2:$A$50,0),MATCH('table (2)'!R$4,m!$B$1:$AX$1,0))</f>
        <v>5.5282272781120021</v>
      </c>
      <c r="S56" s="26">
        <f>INDEX(m!$B$2:$AZ$50,MATCH('table (2)'!$L56,m!$A$2:$A$50,0),MATCH('table (2)'!S$4,m!$B$1:$AZ$1,0))</f>
        <v>8.5338393656929998</v>
      </c>
      <c r="T56" s="26"/>
    </row>
    <row r="57" spans="2:23" ht="15.6" x14ac:dyDescent="0.3">
      <c r="B57" s="16"/>
      <c r="C57" s="19" t="s">
        <v>100</v>
      </c>
      <c r="D57" s="17">
        <f>M57</f>
        <v>44.802878972847218</v>
      </c>
      <c r="E57" s="17">
        <f>N57</f>
        <v>55.677580244823417</v>
      </c>
      <c r="F57" s="17">
        <f>O57</f>
        <v>44.79940352073119</v>
      </c>
      <c r="G57" s="31">
        <f t="shared" si="10"/>
        <v>49.241966497360877</v>
      </c>
      <c r="H57" s="18">
        <f t="shared" si="10"/>
        <v>10.901037610767631</v>
      </c>
      <c r="I57" s="18">
        <f t="shared" si="10"/>
        <v>23.58944755735202</v>
      </c>
      <c r="J57" s="18">
        <f>J56/J67*100</f>
        <v>36.510087868786805</v>
      </c>
      <c r="L57" s="1" t="s">
        <v>64</v>
      </c>
      <c r="M57" s="26">
        <f>INDEX(m!$B$2:$AX$50,MATCH('table (2)'!$L57,m!$A$2:$A$50,0),MATCH('table (2)'!M$4,m!$B$1:$AX$1,0))</f>
        <v>44.802878972847218</v>
      </c>
      <c r="N57" s="26">
        <f>INDEX(m!$B$2:$AX$50,MATCH('table (2)'!$L57,m!$A$2:$A$50,0),MATCH('table (2)'!N$4,m!$B$1:$AX$1,0))</f>
        <v>55.677580244823417</v>
      </c>
      <c r="O57" s="26">
        <f>INDEX(m!$B$2:$AX$50,MATCH('table (2)'!$L57,m!$A$2:$A$50,0),MATCH('table (2)'!O$4,m!$B$1:$AX$1,0))</f>
        <v>44.79940352073119</v>
      </c>
      <c r="P57" s="26">
        <f>INDEX(m!$B$2:$AX$50,MATCH('table (2)'!$L57,m!$A$2:$A$50,0),MATCH('table (2)'!P$4,m!$B$1:$AX$1,0))</f>
        <v>49.241966497360877</v>
      </c>
      <c r="Q57" s="26">
        <f>INDEX(m!$B$2:$AX$50,MATCH('table (2)'!$L57,m!$A$2:$A$50,0),MATCH('table (2)'!Q$4,m!$B$1:$AX$1,0))</f>
        <v>10.901037610767631</v>
      </c>
      <c r="R57" s="26">
        <f>INDEX(m!$B$2:$AZ$50,MATCH('table (2)'!$L57,m!$A$2:$A$50,0),MATCH('table (2)'!R$4,m!$B$1:$AZ$1,0))</f>
        <v>23.58944755735202</v>
      </c>
      <c r="S57" s="26">
        <f>INDEX(m!$B$2:$AZ$50,MATCH('table (2)'!$L57,m!$A$2:$A$50,0),MATCH('table (2)'!S$4,m!$B$1:$AZ$1,0))</f>
        <v>35.938013936497903</v>
      </c>
      <c r="T57" s="26"/>
    </row>
    <row r="58" spans="2:23" ht="15.6" x14ac:dyDescent="0.3">
      <c r="B58" s="16" t="s">
        <v>104</v>
      </c>
      <c r="C58" s="19" t="s">
        <v>101</v>
      </c>
      <c r="D58" s="17" t="e">
        <f t="shared" ref="D58:F62" si="13">M58</f>
        <v>#N/A</v>
      </c>
      <c r="E58" s="17" t="e">
        <f t="shared" si="13"/>
        <v>#N/A</v>
      </c>
      <c r="F58" s="17" t="e">
        <f t="shared" si="13"/>
        <v>#N/A</v>
      </c>
      <c r="G58" s="31" t="e">
        <f t="shared" si="10"/>
        <v>#N/A</v>
      </c>
      <c r="H58" s="18" t="e">
        <f>Q58</f>
        <v>#N/A</v>
      </c>
      <c r="I58" s="18" t="e">
        <f>R58</f>
        <v>#N/A</v>
      </c>
      <c r="J58" s="18" t="e">
        <f>S58</f>
        <v>#N/A</v>
      </c>
      <c r="L58" s="1" t="s">
        <v>103</v>
      </c>
      <c r="M58" s="26" t="e">
        <f>INDEX(m!$B$2:$AX$50,MATCH('table (2)'!$L58,m!$A$2:$A$50,0),MATCH('table (2)'!M$4,m!$B$1:$AX$1,0))</f>
        <v>#N/A</v>
      </c>
      <c r="N58" s="26" t="e">
        <f>INDEX(m!$B$2:$AX$50,MATCH('table (2)'!$L58,m!$A$2:$A$50,0),MATCH('table (2)'!N$4,m!$B$1:$AX$1,0))</f>
        <v>#N/A</v>
      </c>
      <c r="O58" s="26" t="e">
        <f>INDEX(m!$B$2:$AX$50,MATCH('table (2)'!$L58,m!$A$2:$A$50,0),MATCH('table (2)'!O$4,m!$B$1:$AX$1,0))</f>
        <v>#N/A</v>
      </c>
      <c r="P58" s="26" t="e">
        <f>INDEX(m!$B$2:$AX$50,MATCH('table (2)'!$L58,m!$A$2:$A$50,0),MATCH('table (2)'!P$4,m!$B$1:$AX$1,0))</f>
        <v>#N/A</v>
      </c>
      <c r="Q58" s="26" t="e">
        <f>INDEX(m!$B$2:$AX$50,MATCH('table (2)'!$L58,m!$A$2:$A$50,0),MATCH('table (2)'!Q$4,m!$B$1:$AX$1,0))</f>
        <v>#N/A</v>
      </c>
      <c r="R58" s="26" t="e">
        <f>INDEX(m!$B$2:$AX$50,MATCH('table (2)'!$L58,m!$A$2:$A$50,0),MATCH('table (2)'!R$4,m!$B$1:$AX$1,0))</f>
        <v>#N/A</v>
      </c>
      <c r="S58" s="26" t="e">
        <f>INDEX(m!$B$2:$AZ$50,MATCH('table (2)'!$L58,m!$A$2:$A$50,0),MATCH('table (2)'!S$4,m!$B$1:$AZ$1,0))</f>
        <v>#N/A</v>
      </c>
      <c r="T58" s="26"/>
    </row>
    <row r="59" spans="2:23" ht="15.6" x14ac:dyDescent="0.3">
      <c r="B59" s="21" t="s">
        <v>113</v>
      </c>
      <c r="C59" s="22" t="s">
        <v>117</v>
      </c>
      <c r="D59" s="23">
        <f>M59</f>
        <v>1.6429149999999999</v>
      </c>
      <c r="E59" s="23">
        <f t="shared" si="13"/>
        <v>1.846967</v>
      </c>
      <c r="F59" s="23">
        <f t="shared" si="13"/>
        <v>2.3081100000000001</v>
      </c>
      <c r="G59" s="32">
        <f t="shared" si="10"/>
        <v>2.6416710000000001</v>
      </c>
      <c r="H59" s="24">
        <f>Q59</f>
        <v>2.8176109999999999</v>
      </c>
      <c r="I59" s="24">
        <f>R59</f>
        <v>2.9512870000000002</v>
      </c>
      <c r="J59" s="24">
        <f>S59</f>
        <v>2.9715159999999998</v>
      </c>
      <c r="L59" s="1" t="s">
        <v>109</v>
      </c>
      <c r="M59" s="39">
        <f>INDEX(q!$B$2:$S$9,MATCH($L59,q!$A$2:$A$9,0),MATCH(M$3,q!$B$1:$S$1,0))/1000000</f>
        <v>1.6429149999999999</v>
      </c>
      <c r="N59" s="39">
        <f>INDEX(q!$B$2:$S$9,MATCH($L59,q!$A$2:$A$9,0),MATCH(N$3,q!$B$1:$S$1,0))/1000000</f>
        <v>1.846967</v>
      </c>
      <c r="O59" s="39">
        <f>INDEX(q!$B$2:$S$9,MATCH($L59,q!$A$2:$A$9,0),MATCH(O$3,q!$B$1:$S$1,0))/1000000</f>
        <v>2.3081100000000001</v>
      </c>
      <c r="P59" s="39">
        <f>INDEX(q!$B$2:$S$9,MATCH($L59,q!$A$2:$A$9,0),MATCH(P$3,q!$B$1:$S$1,0))/1000000</f>
        <v>2.6416710000000001</v>
      </c>
      <c r="Q59" s="39">
        <f>INDEX(q!$B$2:$Z$9,MATCH($L59,q!$A$2:$A$9,0),MATCH(Q$3,q!$B$1:$Z$1,0))/1000000</f>
        <v>2.8176109999999999</v>
      </c>
      <c r="R59" s="39">
        <f>INDEX(q!$B$2:$Z$9,MATCH($L59,q!$A$2:$A$9,0),MATCH(R$3,q!$B$1:$Z$1,0))/1000000</f>
        <v>2.9512870000000002</v>
      </c>
      <c r="S59" s="39">
        <f>INDEX(q!$B$2:$Z$9,MATCH($L59,q!$A$2:$A$9,0),MATCH(S$3,q!$B$1:$Z$1,0))/1000000</f>
        <v>2.9715159999999998</v>
      </c>
      <c r="T59" s="27"/>
    </row>
    <row r="60" spans="2:23" ht="15.6" x14ac:dyDescent="0.3">
      <c r="B60" s="7" t="s">
        <v>114</v>
      </c>
      <c r="C60" s="10"/>
      <c r="D60" s="8">
        <f t="shared" ref="D60:D62" si="14">M60</f>
        <v>107.6180207609374</v>
      </c>
      <c r="E60" s="8">
        <f t="shared" si="13"/>
        <v>98.39601507664851</v>
      </c>
      <c r="F60" s="8">
        <f t="shared" si="13"/>
        <v>99.940982206763181</v>
      </c>
      <c r="G60" s="30">
        <f t="shared" si="10"/>
        <v>97.0751816344102</v>
      </c>
      <c r="H60" s="9">
        <f>Q60</f>
        <v>98.651356906023182</v>
      </c>
      <c r="I60" s="9">
        <f>R60</f>
        <v>98.841910521101752</v>
      </c>
      <c r="J60" s="9">
        <f>S60</f>
        <v>96.048225872922245</v>
      </c>
      <c r="L60" s="1" t="s">
        <v>110</v>
      </c>
      <c r="M60" s="39">
        <f>INDEX(q!$B$2:$S$9,MATCH($L60,q!$A$2:$A$9,0),MATCH(M$3,q!$B$1:$S$1,0))</f>
        <v>107.6180207609374</v>
      </c>
      <c r="N60" s="39">
        <f>INDEX(q!$B$2:$S$9,MATCH($L60,q!$A$2:$A$9,0),MATCH(N$3,q!$B$1:$S$1,0))</f>
        <v>98.39601507664851</v>
      </c>
      <c r="O60" s="39">
        <f>INDEX(q!$B$2:$S$9,MATCH($L60,q!$A$2:$A$9,0),MATCH(O$3,q!$B$1:$S$1,0))</f>
        <v>99.940982206763181</v>
      </c>
      <c r="P60" s="39">
        <f>INDEX(q!$B$2:$S$9,MATCH($L60,q!$A$2:$A$9,0),MATCH(P$3,q!$B$1:$S$1,0))</f>
        <v>97.0751816344102</v>
      </c>
      <c r="Q60" s="39">
        <f>INDEX(q!$B$2:$S$9,MATCH($L60,q!$A$2:$A$9,0),MATCH(Q$3,q!$B$1:$S$1,0))</f>
        <v>98.651356906023182</v>
      </c>
      <c r="R60" s="39">
        <f>INDEX(q!$B$2:$S$9,MATCH($L60,q!$A$2:$A$9,0),MATCH(R$3,q!$B$1:$S$1,0))</f>
        <v>98.841910521101752</v>
      </c>
      <c r="S60" s="39">
        <f>INDEX(q!$B$2:$S$9,MATCH($L60,q!$A$2:$A$9,0),MATCH(S$3,q!$B$1:$S$1,0))</f>
        <v>96.048225872922245</v>
      </c>
      <c r="T60" s="27"/>
    </row>
    <row r="61" spans="2:23" ht="15.6" x14ac:dyDescent="0.3">
      <c r="B61" s="7" t="s">
        <v>115</v>
      </c>
      <c r="C61" s="10" t="s">
        <v>93</v>
      </c>
      <c r="D61" s="8">
        <f t="shared" si="14"/>
        <v>15.324814438880299</v>
      </c>
      <c r="E61" s="8">
        <f t="shared" si="13"/>
        <v>12.42011911754412</v>
      </c>
      <c r="F61" s="8">
        <f t="shared" si="13"/>
        <v>24.96758198711726</v>
      </c>
      <c r="G61" s="30">
        <f t="shared" si="10"/>
        <v>14.451694243341951</v>
      </c>
      <c r="H61" s="9">
        <f>Q61</f>
        <v>16.269543242725749</v>
      </c>
      <c r="I61" s="9">
        <f>R61</f>
        <v>17.612503093453991</v>
      </c>
      <c r="J61" s="9">
        <f>S61</f>
        <v>13.5363744284526</v>
      </c>
      <c r="L61" s="1" t="s">
        <v>111</v>
      </c>
      <c r="M61" s="39">
        <f>INDEX(q!$B$2:$S$9,MATCH($L61,q!$A$2:$A$9,0),MATCH(M$3,q!$B$1:$S$1,0))</f>
        <v>15.324814438880299</v>
      </c>
      <c r="N61" s="39">
        <f>INDEX(q!$B$2:$S$9,MATCH($L61,q!$A$2:$A$9,0),MATCH(N$3,q!$B$1:$S$1,0))</f>
        <v>12.42011911754412</v>
      </c>
      <c r="O61" s="39">
        <f>INDEX(q!$B$2:$S$9,MATCH($L61,q!$A$2:$A$9,0),MATCH(O$3,q!$B$1:$S$1,0))</f>
        <v>24.96758198711726</v>
      </c>
      <c r="P61" s="39">
        <f>INDEX(q!$B$2:$S$9,MATCH($L61,q!$A$2:$A$9,0),MATCH(P$3,q!$B$1:$S$1,0))</f>
        <v>14.451694243341951</v>
      </c>
      <c r="Q61" s="39">
        <f>INDEX(q!$B$2:$S$9,MATCH($L61,q!$A$2:$A$9,0),MATCH(Q$3,q!$B$1:$S$1,0))</f>
        <v>16.269543242725749</v>
      </c>
      <c r="R61" s="39">
        <f>INDEX(q!$B$2:$S$9,MATCH($L61,q!$A$2:$A$9,0),MATCH(R$3,q!$B$1:$S$1,0))</f>
        <v>17.612503093453991</v>
      </c>
      <c r="S61" s="39">
        <f>INDEX(q!$B$2:$S$9,MATCH($L61,q!$A$2:$A$9,0),MATCH(S$3,q!$B$1:$S$1,0))</f>
        <v>13.5363744284526</v>
      </c>
      <c r="T61" s="27"/>
    </row>
    <row r="62" spans="2:23" ht="16.2" thickBot="1" x14ac:dyDescent="0.35">
      <c r="B62" s="11" t="s">
        <v>116</v>
      </c>
      <c r="C62" s="12" t="s">
        <v>93</v>
      </c>
      <c r="D62" s="13">
        <f t="shared" si="14"/>
        <v>4.7865202627801962</v>
      </c>
      <c r="E62" s="13">
        <f t="shared" si="13"/>
        <v>22.956511030599032</v>
      </c>
      <c r="F62" s="13">
        <f t="shared" si="13"/>
        <v>23.03573378794135</v>
      </c>
      <c r="G62" s="33">
        <f t="shared" si="10"/>
        <v>17.830474744671189</v>
      </c>
      <c r="H62" s="14">
        <f>Q62</f>
        <v>15.57912176005717</v>
      </c>
      <c r="I62" s="14">
        <f>R62</f>
        <v>14.10681044922879</v>
      </c>
      <c r="J62" s="14">
        <f>S62</f>
        <v>14.7142687638583</v>
      </c>
      <c r="L62" s="1" t="s">
        <v>112</v>
      </c>
      <c r="M62" s="39">
        <f>INDEX(q!$B$2:$S$9,MATCH($L62,q!$A$2:$A$9,0),MATCH(M$3,q!$B$1:$S$1,0))</f>
        <v>4.7865202627801962</v>
      </c>
      <c r="N62" s="39">
        <f>INDEX(q!$B$2:$S$9,MATCH($L62,q!$A$2:$A$9,0),MATCH(N$3,q!$B$1:$S$1,0))</f>
        <v>22.956511030599032</v>
      </c>
      <c r="O62" s="39">
        <f>INDEX(q!$B$2:$S$9,MATCH($L62,q!$A$2:$A$9,0),MATCH(O$3,q!$B$1:$S$1,0))</f>
        <v>23.03573378794135</v>
      </c>
      <c r="P62" s="39">
        <f>INDEX(q!$B$2:$S$9,MATCH($L62,q!$A$2:$A$9,0),MATCH(P$3,q!$B$1:$S$1,0))</f>
        <v>17.830474744671189</v>
      </c>
      <c r="Q62" s="39">
        <f>INDEX(q!$B$2:$S$9,MATCH($L62,q!$A$2:$A$9,0),MATCH(Q$3,q!$B$1:$S$1,0))</f>
        <v>15.57912176005717</v>
      </c>
      <c r="R62" s="39">
        <f>INDEX(q!$B$2:$S$9,MATCH($L62,q!$A$2:$A$9,0),MATCH(R$3,q!$B$1:$S$1,0))</f>
        <v>14.10681044922879</v>
      </c>
      <c r="S62" s="39">
        <f>INDEX(q!$B$2:$S$9,MATCH($L62,q!$A$2:$A$9,0),MATCH(S$3,q!$B$1:$S$1,0))</f>
        <v>14.7142687638583</v>
      </c>
      <c r="T62" s="27"/>
    </row>
    <row r="63" spans="2:23" x14ac:dyDescent="0.3">
      <c r="B63" s="20" t="s">
        <v>153</v>
      </c>
    </row>
    <row r="66" spans="3:10" x14ac:dyDescent="0.3">
      <c r="C66" t="s">
        <v>161</v>
      </c>
      <c r="D66">
        <v>43.55</v>
      </c>
      <c r="E66">
        <v>53.85</v>
      </c>
      <c r="F66">
        <v>70.44</v>
      </c>
      <c r="G66">
        <v>80.66</v>
      </c>
      <c r="H66" s="36">
        <f>H23/H24*100</f>
        <v>81.519123199999981</v>
      </c>
      <c r="I66" s="36">
        <f>H66</f>
        <v>81.519123199999981</v>
      </c>
      <c r="J66" s="36">
        <f>I66</f>
        <v>81.519123199999981</v>
      </c>
    </row>
    <row r="67" spans="3:10" x14ac:dyDescent="0.3">
      <c r="C67" t="s">
        <v>162</v>
      </c>
      <c r="D67" s="36">
        <f>D66/D9*1000</f>
        <v>15.284241262888948</v>
      </c>
      <c r="E67" s="36">
        <f>E66/E9*1000</f>
        <v>15.633164953840796</v>
      </c>
      <c r="F67" s="36">
        <f>F66/F9*1000</f>
        <v>20.652712500989534</v>
      </c>
      <c r="G67" s="36">
        <f>G66/G9*1000</f>
        <v>23.581623524321287</v>
      </c>
      <c r="H67" s="36">
        <f>H66/H9*1000</f>
        <v>23.373921740102816</v>
      </c>
      <c r="I67" s="36">
        <f>H67</f>
        <v>23.373921740102816</v>
      </c>
      <c r="J67" s="36">
        <f>I67</f>
        <v>23.373921740102816</v>
      </c>
    </row>
    <row r="69" spans="3:10" x14ac:dyDescent="0.3">
      <c r="E69">
        <f>E66/D66</f>
        <v>1.2365097588978187</v>
      </c>
    </row>
    <row r="71" spans="3:10" x14ac:dyDescent="0.3">
      <c r="E71" s="36"/>
    </row>
  </sheetData>
  <mergeCells count="1">
    <mergeCell ref="B2:J2"/>
  </mergeCells>
  <pageMargins left="0.7" right="0.7" top="0.75" bottom="0.75" header="0.3" footer="0.3"/>
  <pageSetup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87A0-E382-4C18-8ECB-BBCE9620124E}">
  <sheetPr>
    <pageSetUpPr fitToPage="1"/>
  </sheetPr>
  <dimension ref="B2:AF67"/>
  <sheetViews>
    <sheetView showGridLines="0" tabSelected="1" view="pageBreakPreview" zoomScale="55" zoomScaleNormal="85" zoomScaleSheetLayoutView="55" workbookViewId="0">
      <selection activeCell="N31" sqref="N31"/>
    </sheetView>
  </sheetViews>
  <sheetFormatPr defaultRowHeight="14.4" x14ac:dyDescent="0.3"/>
  <cols>
    <col min="2" max="2" width="30.44140625" customWidth="1"/>
    <col min="3" max="3" width="22.109375" customWidth="1"/>
    <col min="4" max="9" width="11.33203125" customWidth="1"/>
    <col min="10" max="10" width="12.33203125" customWidth="1"/>
    <col min="13" max="14" width="19.109375" bestFit="1" customWidth="1"/>
    <col min="15" max="15" width="18.6640625" bestFit="1" customWidth="1"/>
    <col min="16" max="17" width="19.109375" bestFit="1" customWidth="1"/>
  </cols>
  <sheetData>
    <row r="2" spans="2:23" ht="25.95" customHeight="1" x14ac:dyDescent="0.4">
      <c r="B2" s="37" t="s">
        <v>172</v>
      </c>
      <c r="C2" s="37"/>
      <c r="D2" s="37"/>
      <c r="E2" s="37"/>
      <c r="F2" s="37"/>
      <c r="G2" s="37"/>
      <c r="H2" s="37"/>
      <c r="I2" s="37"/>
      <c r="J2" s="37"/>
    </row>
    <row r="3" spans="2:23" x14ac:dyDescent="0.3">
      <c r="M3" s="2" t="s">
        <v>67</v>
      </c>
      <c r="N3" s="2" t="s">
        <v>71</v>
      </c>
      <c r="O3" s="2" t="s">
        <v>131</v>
      </c>
      <c r="P3" s="2" t="s">
        <v>135</v>
      </c>
      <c r="Q3" s="2" t="s">
        <v>156</v>
      </c>
      <c r="R3" s="2" t="s">
        <v>159</v>
      </c>
      <c r="S3" s="2" t="s">
        <v>167</v>
      </c>
      <c r="T3" s="2"/>
    </row>
    <row r="4" spans="2:23" ht="15.6" x14ac:dyDescent="0.3">
      <c r="B4" s="3"/>
      <c r="C4" s="3"/>
      <c r="D4" s="4" t="s">
        <v>79</v>
      </c>
      <c r="E4" s="4" t="s">
        <v>80</v>
      </c>
      <c r="F4" s="4" t="s">
        <v>136</v>
      </c>
      <c r="G4" s="4" t="s">
        <v>137</v>
      </c>
      <c r="H4" s="5" t="s">
        <v>156</v>
      </c>
      <c r="I4" s="5" t="s">
        <v>159</v>
      </c>
      <c r="J4" s="5" t="s">
        <v>167</v>
      </c>
      <c r="M4" s="2" t="s">
        <v>3</v>
      </c>
      <c r="N4" s="2" t="s">
        <v>15</v>
      </c>
      <c r="O4" s="2" t="s">
        <v>102</v>
      </c>
      <c r="P4" s="2" t="s">
        <v>129</v>
      </c>
      <c r="Q4" s="2" t="s">
        <v>154</v>
      </c>
      <c r="R4" s="2" t="s">
        <v>158</v>
      </c>
      <c r="S4" s="2" t="s">
        <v>165</v>
      </c>
      <c r="T4" s="2"/>
      <c r="U4" s="1" t="s">
        <v>154</v>
      </c>
      <c r="V4" s="1" t="s">
        <v>158</v>
      </c>
      <c r="W4" s="1" t="s">
        <v>160</v>
      </c>
    </row>
    <row r="5" spans="2:23" ht="9.6" customHeight="1" x14ac:dyDescent="0.3">
      <c r="B5" s="6"/>
      <c r="C5" s="6"/>
      <c r="D5" s="3"/>
      <c r="E5" s="3"/>
      <c r="F5" s="3"/>
      <c r="G5" s="3"/>
      <c r="H5" s="7"/>
      <c r="I5" s="7"/>
      <c r="J5" s="7"/>
      <c r="U5" s="34"/>
      <c r="V5" s="34"/>
    </row>
    <row r="6" spans="2:23" ht="15.6" x14ac:dyDescent="0.3">
      <c r="B6" s="7" t="s">
        <v>82</v>
      </c>
      <c r="C6" s="10" t="s">
        <v>93</v>
      </c>
      <c r="D6" s="8">
        <f t="shared" ref="D6:J6" si="0">M6</f>
        <v>13.82666239122111</v>
      </c>
      <c r="E6" s="8">
        <f t="shared" si="0"/>
        <v>13.243298123844699</v>
      </c>
      <c r="F6" s="8">
        <f t="shared" si="0"/>
        <v>7.9239441073877162</v>
      </c>
      <c r="G6" s="30">
        <f t="shared" si="0"/>
        <v>8.3598213391466789</v>
      </c>
      <c r="H6" s="9">
        <f t="shared" si="0"/>
        <v>9.1020943294783567</v>
      </c>
      <c r="I6" s="9">
        <f t="shared" si="0"/>
        <v>8.1863350175044101</v>
      </c>
      <c r="J6" s="9">
        <f t="shared" si="0"/>
        <v>9.0299816704657072</v>
      </c>
      <c r="L6" s="1" t="s">
        <v>26</v>
      </c>
      <c r="M6" s="26">
        <f>INDEX(m!$B$2:$AY$51,MATCH(table!$L6,m!$A$2:$A$51,0),MATCH(table!M$4,m!$B$1:$AY$1,0))</f>
        <v>13.82666239122111</v>
      </c>
      <c r="N6" s="26">
        <f>INDEX(m!$B$2:$AY$51,MATCH(table!$L6,m!$A$2:$A$51,0),MATCH(table!N$4,m!$B$1:$AY$1,0))</f>
        <v>13.243298123844699</v>
      </c>
      <c r="O6" s="26">
        <f>INDEX(m!$B$2:$AY$51,MATCH(table!$L6,m!$A$2:$A$51,0),MATCH(table!O$4,m!$B$1:$AY$1,0))</f>
        <v>7.9239441073877162</v>
      </c>
      <c r="P6" s="26">
        <f>INDEX(m!$B$2:$AY$51,MATCH(table!$L6,m!$A$2:$A$51,0),MATCH(table!P$4,m!$B$1:$AY$1,0))</f>
        <v>8.3598213391466789</v>
      </c>
      <c r="Q6" s="26">
        <f>INDEX(m!$B$2:$AY$51,MATCH(table!$L6,m!$A$2:$A$51,0),MATCH(table!Q$4,m!$B$1:$AY$1,0))</f>
        <v>9.1020943294783567</v>
      </c>
      <c r="R6" s="26">
        <f>INDEX(m!$B$2:$AY$51,MATCH(table!$L6,m!$A$2:$A$51,0),MATCH(table!R$4,m!$B$1:$AY$1,0))</f>
        <v>8.1863350175044101</v>
      </c>
      <c r="S6" s="26">
        <f>INDEX(m!$B$2:$AY$51,MATCH(table!$L6,m!$A$2:$A$51,0),MATCH(table!S$4,m!$B$1:$AY$1,0))</f>
        <v>9.0299816704657072</v>
      </c>
      <c r="T6" s="26"/>
      <c r="U6">
        <v>9.1020943294783567</v>
      </c>
      <c r="V6">
        <v>8.1863350175044101</v>
      </c>
      <c r="W6">
        <v>8.0997477914135168</v>
      </c>
    </row>
    <row r="7" spans="2:23" ht="15.6" hidden="1" x14ac:dyDescent="0.3">
      <c r="B7" s="7"/>
      <c r="C7" s="10" t="s">
        <v>94</v>
      </c>
      <c r="D7" s="8"/>
      <c r="E7" s="8"/>
      <c r="F7" s="8"/>
      <c r="G7" s="30"/>
      <c r="H7" s="9"/>
      <c r="I7" s="9">
        <f t="shared" ref="H7:J25" si="1">R7</f>
        <v>3.1141627045329541</v>
      </c>
      <c r="J7" s="9">
        <f t="shared" si="1"/>
        <v>7.0592548599146649</v>
      </c>
      <c r="L7" s="1" t="s">
        <v>27</v>
      </c>
      <c r="M7" s="26">
        <f>INDEX(m!$B$2:$AY$51,MATCH(table!$L7,m!$A$2:$A$51,0),MATCH(table!M$4,m!$B$1:$AY$1,0))</f>
        <v>15.68322492583043</v>
      </c>
      <c r="N7" s="26">
        <f>INDEX(m!$B$2:$AY$51,MATCH(table!$L7,m!$A$2:$A$51,0),MATCH(table!N$4,m!$B$1:$AY$1,0))</f>
        <v>13.5517797193893</v>
      </c>
      <c r="O7" s="26">
        <f>INDEX(m!$B$2:$AY$51,MATCH(table!$L7,m!$A$2:$A$51,0),MATCH(table!O$4,m!$B$1:$AY$1,0))</f>
        <v>5.5238011319374207</v>
      </c>
      <c r="P7" s="26">
        <f>INDEX(m!$B$2:$AY$51,MATCH(table!$L7,m!$A$2:$A$51,0),MATCH(table!P$4,m!$B$1:$AY$1,0))</f>
        <v>13.26345409634648</v>
      </c>
      <c r="Q7" s="26">
        <f>INDEX(m!$B$2:$AY$51,MATCH(table!$L7,m!$A$2:$A$51,0),MATCH(table!Q$4,m!$B$1:$AY$1,0))</f>
        <v>11.59795968841089</v>
      </c>
      <c r="R7" s="26">
        <f>INDEX(m!$B$2:$AY$51,MATCH(table!$L7,m!$A$2:$A$51,0),MATCH(table!R$4,m!$B$1:$AY$1,0))</f>
        <v>3.1141627045329541</v>
      </c>
      <c r="S7" s="26">
        <f>INDEX(m!$B$2:$AY$51,MATCH(table!$L7,m!$A$2:$A$51,0),MATCH(table!S$4,m!$B$1:$AY$1,0))</f>
        <v>7.0592548599146649</v>
      </c>
      <c r="T7" s="26"/>
      <c r="U7">
        <v>2.8994899221027222</v>
      </c>
      <c r="V7">
        <v>0.77854067613323852</v>
      </c>
      <c r="W7">
        <v>0.39314572829778388</v>
      </c>
    </row>
    <row r="8" spans="2:23" ht="15.6" x14ac:dyDescent="0.3">
      <c r="B8" s="16"/>
      <c r="C8" s="19" t="s">
        <v>171</v>
      </c>
      <c r="D8" s="17"/>
      <c r="E8" s="17"/>
      <c r="F8" s="17"/>
      <c r="G8" s="31"/>
      <c r="H8" s="18">
        <f>Q8</f>
        <v>11.59795968841089</v>
      </c>
      <c r="I8" s="18">
        <f t="shared" si="1"/>
        <v>3.1141627045329541</v>
      </c>
      <c r="J8" s="18">
        <f t="shared" si="1"/>
        <v>7.0592548599146649</v>
      </c>
      <c r="L8" s="1" t="s">
        <v>27</v>
      </c>
      <c r="M8" s="26">
        <f>INDEX(m!$B$2:$AY$51,MATCH(table!$L8,m!$A$2:$A$51,0),MATCH(table!M$4,m!$B$1:$AY$1,0))</f>
        <v>15.68322492583043</v>
      </c>
      <c r="N8" s="26">
        <f>INDEX(m!$B$2:$AY$51,MATCH(table!$L8,m!$A$2:$A$51,0),MATCH(table!N$4,m!$B$1:$AY$1,0))</f>
        <v>13.5517797193893</v>
      </c>
      <c r="O8" s="26">
        <f>INDEX(m!$B$2:$AY$51,MATCH(table!$L8,m!$A$2:$A$51,0),MATCH(table!O$4,m!$B$1:$AY$1,0))</f>
        <v>5.5238011319374207</v>
      </c>
      <c r="P8" s="26">
        <f>INDEX(m!$B$2:$AY$51,MATCH(table!$L8,m!$A$2:$A$51,0),MATCH(table!P$4,m!$B$1:$AY$1,0))</f>
        <v>13.26345409634648</v>
      </c>
      <c r="Q8" s="26">
        <f>INDEX(m!$B$2:$AY$51,MATCH(table!$L8,m!$A$2:$A$51,0),MATCH(table!Q$4,m!$B$1:$AY$1,0))</f>
        <v>11.59795968841089</v>
      </c>
      <c r="R8" s="26">
        <f>INDEX(m!$B$2:$AY$51,MATCH(table!$L8,m!$A$2:$A$51,0),MATCH(table!R$4,m!$B$1:$AY$1,0))</f>
        <v>3.1141627045329541</v>
      </c>
      <c r="S8" s="26">
        <f>INDEX(m!$B$2:$AY$51,MATCH(table!$L8,m!$A$2:$A$51,0),MATCH(table!S$4,m!$B$1:$AY$1,0))</f>
        <v>7.0592548599146649</v>
      </c>
      <c r="T8" s="26"/>
      <c r="U8">
        <v>0.34988316068086112</v>
      </c>
      <c r="V8">
        <v>0.23000864738408441</v>
      </c>
      <c r="W8">
        <v>-5.0507483451935273E-2</v>
      </c>
    </row>
    <row r="9" spans="2:23" ht="15.6" x14ac:dyDescent="0.3">
      <c r="B9" s="7" t="s">
        <v>83</v>
      </c>
      <c r="C9" s="10"/>
      <c r="D9" s="8">
        <f>M9</f>
        <v>2849.34</v>
      </c>
      <c r="E9" s="8">
        <f t="shared" ref="E9:E10" si="2">N9</f>
        <v>3444.6</v>
      </c>
      <c r="F9" s="8">
        <f t="shared" ref="F9:F10" si="3">O9</f>
        <v>3410.69</v>
      </c>
      <c r="G9" s="30">
        <f t="shared" ref="G9:G10" si="4">P9</f>
        <v>3420.46</v>
      </c>
      <c r="H9" s="9">
        <f>Q9</f>
        <v>3487.61</v>
      </c>
      <c r="I9" s="9">
        <f t="shared" si="1"/>
        <v>3580.94</v>
      </c>
      <c r="J9" s="9">
        <f t="shared" si="1"/>
        <v>3594.64</v>
      </c>
      <c r="L9" s="1" t="s">
        <v>29</v>
      </c>
      <c r="M9" s="26">
        <f>INDEX(m!$B$2:$AY$51,MATCH(table!$L9,m!$A$2:$A$51,0),MATCH(table!M$4,m!$B$1:$AY$1,0))</f>
        <v>2849.34</v>
      </c>
      <c r="N9" s="26">
        <f>INDEX(m!$B$2:$AY$51,MATCH(table!$L9,m!$A$2:$A$51,0),MATCH(table!N$4,m!$B$1:$AY$1,0))</f>
        <v>3444.6</v>
      </c>
      <c r="O9" s="26">
        <f>INDEX(m!$B$2:$AY$51,MATCH(table!$L9,m!$A$2:$A$51,0),MATCH(table!O$4,m!$B$1:$AY$1,0))</f>
        <v>3410.69</v>
      </c>
      <c r="P9" s="26">
        <f>INDEX(m!$B$2:$AY$51,MATCH(table!$L9,m!$A$2:$A$51,0),MATCH(table!P$4,m!$B$1:$AY$1,0))</f>
        <v>3420.46</v>
      </c>
      <c r="Q9" s="26">
        <f>INDEX(m!$B$2:$AY$51,MATCH(table!$L9,m!$A$2:$A$51,0),MATCH(table!Q$4,m!$B$1:$AY$1,0))</f>
        <v>3487.61</v>
      </c>
      <c r="R9" s="26">
        <f>INDEX(m!$B$2:$AY$51,MATCH(table!$L9,m!$A$2:$A$51,0),MATCH(table!R$4,m!$B$1:$AY$1,0))</f>
        <v>3580.94</v>
      </c>
      <c r="S9" s="26">
        <f>INDEX(m!$B$2:$AY$51,MATCH(table!$L9,m!$A$2:$A$51,0),MATCH(table!S$4,m!$B$1:$AY$1,0))</f>
        <v>3594.64</v>
      </c>
      <c r="T9" s="26"/>
      <c r="U9">
        <v>3487.61</v>
      </c>
      <c r="V9">
        <v>3580.94</v>
      </c>
      <c r="W9">
        <v>3587.49</v>
      </c>
    </row>
    <row r="10" spans="2:23" ht="15.6" x14ac:dyDescent="0.3">
      <c r="B10" s="7"/>
      <c r="C10" s="10" t="s">
        <v>93</v>
      </c>
      <c r="D10" s="8">
        <f>M10</f>
        <v>-1.9298990487342571E-2</v>
      </c>
      <c r="E10" s="8">
        <f t="shared" si="2"/>
        <v>20.891153740866301</v>
      </c>
      <c r="F10" s="8">
        <f t="shared" si="3"/>
        <v>-0.98443941241362876</v>
      </c>
      <c r="G10" s="30">
        <f t="shared" si="4"/>
        <v>0.28645230144047051</v>
      </c>
      <c r="H10" s="9">
        <f>Q10</f>
        <v>3.3062894143643899</v>
      </c>
      <c r="I10" s="9">
        <f t="shared" si="1"/>
        <v>5.9120687360435316</v>
      </c>
      <c r="J10" s="9">
        <f t="shared" si="1"/>
        <v>6.3210418435164302</v>
      </c>
      <c r="L10" s="1" t="s">
        <v>30</v>
      </c>
      <c r="M10" s="26">
        <f>INDEX(m!$B$2:$AY$51,MATCH(table!$L10,m!$A$2:$A$51,0),MATCH(table!M$4,m!$B$1:$AY$1,0))</f>
        <v>-1.9298990487342571E-2</v>
      </c>
      <c r="N10" s="26">
        <f>INDEX(m!$B$2:$AY$51,MATCH(table!$L10,m!$A$2:$A$51,0),MATCH(table!N$4,m!$B$1:$AY$1,0))</f>
        <v>20.891153740866301</v>
      </c>
      <c r="O10" s="26">
        <f>INDEX(m!$B$2:$AY$51,MATCH(table!$L10,m!$A$2:$A$51,0),MATCH(table!O$4,m!$B$1:$AY$1,0))</f>
        <v>-0.98443941241362876</v>
      </c>
      <c r="P10" s="26">
        <f>INDEX(m!$B$2:$AY$51,MATCH(table!$L10,m!$A$2:$A$51,0),MATCH(table!P$4,m!$B$1:$AY$1,0))</f>
        <v>0.28645230144047051</v>
      </c>
      <c r="Q10" s="26">
        <f>INDEX(m!$B$2:$AY$51,MATCH(table!$L10,m!$A$2:$A$51,0),MATCH(table!Q$4,m!$B$1:$AY$1,0))</f>
        <v>3.3062894143643899</v>
      </c>
      <c r="R10" s="26">
        <f>INDEX(m!$B$2:$AY$51,MATCH(table!$L10,m!$A$2:$A$51,0),MATCH(table!R$4,m!$B$1:$AY$1,0))</f>
        <v>5.9120687360435316</v>
      </c>
      <c r="S10" s="26">
        <f>INDEX(m!$B$2:$AY$51,MATCH(table!$L10,m!$A$2:$A$51,0),MATCH(table!S$4,m!$B$1:$AY$1,0))</f>
        <v>6.3210418435164302</v>
      </c>
      <c r="T10" s="26"/>
      <c r="U10">
        <v>3.3062894143643899</v>
      </c>
      <c r="V10">
        <v>5.9120687360435316</v>
      </c>
      <c r="W10">
        <v>6.11332787113147</v>
      </c>
    </row>
    <row r="11" spans="2:23" ht="15.6" hidden="1" x14ac:dyDescent="0.3">
      <c r="B11" s="7"/>
      <c r="C11" s="10" t="s">
        <v>94</v>
      </c>
      <c r="D11" s="8"/>
      <c r="E11" s="8"/>
      <c r="F11" s="8"/>
      <c r="G11" s="30"/>
      <c r="H11" s="9"/>
      <c r="I11" s="9">
        <f t="shared" si="1"/>
        <v>10.704178506197641</v>
      </c>
      <c r="J11" s="9">
        <f t="shared" si="1"/>
        <v>1.530324439951501</v>
      </c>
      <c r="L11" s="1" t="s">
        <v>31</v>
      </c>
      <c r="M11" s="26">
        <f>INDEX(m!$B$2:$AY$51,MATCH(table!$L11,m!$A$2:$A$51,0),MATCH(table!M$4,m!$B$1:$AY$1,0))</f>
        <v>1.965463989896496E-2</v>
      </c>
      <c r="N11" s="26">
        <f>INDEX(m!$B$2:$AY$51,MATCH(table!$L11,m!$A$2:$A$51,0),MATCH(table!N$4,m!$B$1:$AY$1,0))</f>
        <v>13.390858740721621</v>
      </c>
      <c r="O11" s="26">
        <f>INDEX(m!$B$2:$AY$51,MATCH(table!$L11,m!$A$2:$A$51,0),MATCH(table!O$4,m!$B$1:$AY$1,0))</f>
        <v>-5.6435901141783429</v>
      </c>
      <c r="P11" s="26">
        <f>INDEX(m!$B$2:$AY$51,MATCH(table!$L11,m!$A$2:$A$51,0),MATCH(table!P$4,m!$B$1:$AY$1,0))</f>
        <v>4.6768196916233347</v>
      </c>
      <c r="Q11" s="26">
        <f>INDEX(m!$B$2:$AY$51,MATCH(table!$L11,m!$A$2:$A$51,0),MATCH(table!Q$4,m!$B$1:$AY$1,0))</f>
        <v>7.8527449524333086</v>
      </c>
      <c r="R11" s="26">
        <f>INDEX(m!$B$2:$AY$51,MATCH(table!$L11,m!$A$2:$A$51,0),MATCH(table!R$4,m!$B$1:$AY$1,0))</f>
        <v>10.704178506197641</v>
      </c>
      <c r="S11" s="26">
        <f>INDEX(m!$B$2:$AY$51,MATCH(table!$L11,m!$A$2:$A$51,0),MATCH(table!S$4,m!$B$1:$AY$1,0))</f>
        <v>1.530324439951501</v>
      </c>
      <c r="T11" s="26"/>
      <c r="U11">
        <v>1.9631862381083269</v>
      </c>
      <c r="V11">
        <v>2.6760446265494111</v>
      </c>
      <c r="W11">
        <v>0.46683954945921707</v>
      </c>
    </row>
    <row r="12" spans="2:23" ht="15.6" x14ac:dyDescent="0.3">
      <c r="B12" s="16"/>
      <c r="C12" s="19" t="s">
        <v>171</v>
      </c>
      <c r="D12" s="17"/>
      <c r="E12" s="17"/>
      <c r="F12" s="17"/>
      <c r="G12" s="31"/>
      <c r="H12" s="18">
        <f>Q12</f>
        <v>7.8527449524333086</v>
      </c>
      <c r="I12" s="18">
        <f t="shared" si="1"/>
        <v>10.704178506197641</v>
      </c>
      <c r="J12" s="18">
        <f t="shared" si="1"/>
        <v>1.530324439951501</v>
      </c>
      <c r="L12" s="1" t="s">
        <v>31</v>
      </c>
      <c r="M12" s="26">
        <f>INDEX(m!$B$2:$AY$51,MATCH(table!$L12,m!$A$2:$A$51,0),MATCH(table!M$4,m!$B$1:$AY$1,0))</f>
        <v>1.965463989896496E-2</v>
      </c>
      <c r="N12" s="26">
        <f>INDEX(m!$B$2:$AY$51,MATCH(table!$L12,m!$A$2:$A$51,0),MATCH(table!N$4,m!$B$1:$AY$1,0))</f>
        <v>13.390858740721621</v>
      </c>
      <c r="O12" s="26">
        <f>INDEX(m!$B$2:$AY$51,MATCH(table!$L12,m!$A$2:$A$51,0),MATCH(table!O$4,m!$B$1:$AY$1,0))</f>
        <v>-5.6435901141783429</v>
      </c>
      <c r="P12" s="26">
        <f>INDEX(m!$B$2:$AY$51,MATCH(table!$L12,m!$A$2:$A$51,0),MATCH(table!P$4,m!$B$1:$AY$1,0))</f>
        <v>4.6768196916233347</v>
      </c>
      <c r="Q12" s="26">
        <f>INDEX(m!$B$2:$AY$51,MATCH(table!$L12,m!$A$2:$A$51,0),MATCH(table!Q$4,m!$B$1:$AY$1,0))</f>
        <v>7.8527449524333086</v>
      </c>
      <c r="R12" s="26">
        <f>INDEX(m!$B$2:$AY$51,MATCH(table!$L12,m!$A$2:$A$51,0),MATCH(table!R$4,m!$B$1:$AY$1,0))</f>
        <v>10.704178506197641</v>
      </c>
      <c r="S12" s="26">
        <f>INDEX(m!$B$2:$AY$51,MATCH(table!$L12,m!$A$2:$A$51,0),MATCH(table!S$4,m!$B$1:$AY$1,0))</f>
        <v>1.530324439951501</v>
      </c>
      <c r="T12" s="26"/>
      <c r="U12">
        <v>0.60723022246838887</v>
      </c>
      <c r="V12">
        <v>0.19558191916507611</v>
      </c>
      <c r="W12">
        <v>0.18291286645405189</v>
      </c>
    </row>
    <row r="13" spans="2:23" ht="15.6" x14ac:dyDescent="0.3">
      <c r="B13" s="7" t="s">
        <v>144</v>
      </c>
      <c r="C13" s="10"/>
      <c r="D13" s="8">
        <f>M13</f>
        <v>446.96</v>
      </c>
      <c r="E13" s="8">
        <f t="shared" ref="E13:E14" si="5">N13</f>
        <v>495.4</v>
      </c>
      <c r="F13" s="8">
        <f t="shared" ref="F13:F14" si="6">O13</f>
        <v>480.01</v>
      </c>
      <c r="G13" s="30">
        <f t="shared" ref="G13:G14" si="7">P13</f>
        <v>468.6</v>
      </c>
      <c r="H13" s="9">
        <f>Q13</f>
        <v>480.91</v>
      </c>
      <c r="I13" s="9">
        <f t="shared" si="1"/>
        <v>499.76</v>
      </c>
      <c r="J13" s="9">
        <f t="shared" si="1"/>
        <v>505.01</v>
      </c>
      <c r="L13" s="1" t="s">
        <v>105</v>
      </c>
      <c r="M13" s="26">
        <f>INDEX(m!$B$2:$AY$51,MATCH(table!$L13,m!$A$2:$A$51,0),MATCH(table!M$4,m!$B$1:$AY$1,0))</f>
        <v>446.96</v>
      </c>
      <c r="N13" s="26">
        <f>INDEX(m!$B$2:$AY$51,MATCH(table!$L13,m!$A$2:$A$51,0),MATCH(table!N$4,m!$B$1:$AY$1,0))</f>
        <v>495.4</v>
      </c>
      <c r="O13" s="26">
        <f>INDEX(m!$B$2:$AY$51,MATCH(table!$L13,m!$A$2:$A$51,0),MATCH(table!O$4,m!$B$1:$AY$1,0))</f>
        <v>480.01</v>
      </c>
      <c r="P13" s="26">
        <f>INDEX(m!$B$2:$AY$51,MATCH(table!$L13,m!$A$2:$A$51,0),MATCH(table!P$4,m!$B$1:$AY$1,0))</f>
        <v>468.6</v>
      </c>
      <c r="Q13" s="26">
        <f>INDEX(m!$B$2:$AY$51,MATCH(table!$L13,m!$A$2:$A$51,0),MATCH(table!Q$4,m!$B$1:$AY$1,0))</f>
        <v>480.91</v>
      </c>
      <c r="R13" s="26">
        <f>INDEX(m!$B$2:$AY$51,MATCH(table!$L13,m!$A$2:$A$51,0),MATCH(table!R$4,m!$B$1:$AY$1,0))</f>
        <v>499.76</v>
      </c>
      <c r="S13" s="26">
        <f>INDEX(m!$B$2:$AY$51,MATCH(table!$L13,m!$A$2:$A$51,0),MATCH(table!S$4,m!$B$1:$AY$1,0))</f>
        <v>505.01</v>
      </c>
      <c r="T13" s="26"/>
      <c r="U13">
        <v>480.91</v>
      </c>
      <c r="V13">
        <v>499.76</v>
      </c>
      <c r="W13">
        <v>498.81</v>
      </c>
    </row>
    <row r="14" spans="2:23" ht="15.6" x14ac:dyDescent="0.3">
      <c r="B14" s="7"/>
      <c r="C14" s="10" t="s">
        <v>93</v>
      </c>
      <c r="D14" s="8">
        <f>M14</f>
        <v>2.4597116200169551</v>
      </c>
      <c r="E14" s="8">
        <f t="shared" si="5"/>
        <v>10.837658850903891</v>
      </c>
      <c r="F14" s="8">
        <f t="shared" si="6"/>
        <v>-3.106580540976986</v>
      </c>
      <c r="G14" s="30">
        <f t="shared" si="7"/>
        <v>-2.3770338117955809</v>
      </c>
      <c r="H14" s="9">
        <f>Q14</f>
        <v>2.9102736941216798</v>
      </c>
      <c r="I14" s="9">
        <f t="shared" si="1"/>
        <v>7.4429204110590366</v>
      </c>
      <c r="J14" s="9">
        <f t="shared" si="1"/>
        <v>4.7521261149139118</v>
      </c>
      <c r="L14" s="1" t="s">
        <v>106</v>
      </c>
      <c r="M14" s="26">
        <f>INDEX(m!$B$2:$AY$51,MATCH(table!$L14,m!$A$2:$A$51,0),MATCH(table!M$4,m!$B$1:$AY$1,0))</f>
        <v>2.4597116200169551</v>
      </c>
      <c r="N14" s="26">
        <f>INDEX(m!$B$2:$AY$51,MATCH(table!$L14,m!$A$2:$A$51,0),MATCH(table!N$4,m!$B$1:$AY$1,0))</f>
        <v>10.837658850903891</v>
      </c>
      <c r="O14" s="26">
        <f>INDEX(m!$B$2:$AY$51,MATCH(table!$L14,m!$A$2:$A$51,0),MATCH(table!O$4,m!$B$1:$AY$1,0))</f>
        <v>-3.106580540976986</v>
      </c>
      <c r="P14" s="26">
        <f>INDEX(m!$B$2:$AY$51,MATCH(table!$L14,m!$A$2:$A$51,0),MATCH(table!P$4,m!$B$1:$AY$1,0))</f>
        <v>-2.3770338117955809</v>
      </c>
      <c r="Q14" s="26">
        <f>INDEX(m!$B$2:$AY$51,MATCH(table!$L14,m!$A$2:$A$51,0),MATCH(table!Q$4,m!$B$1:$AY$1,0))</f>
        <v>2.9102736941216798</v>
      </c>
      <c r="R14" s="26">
        <f>INDEX(m!$B$2:$AY$51,MATCH(table!$L14,m!$A$2:$A$51,0),MATCH(table!R$4,m!$B$1:$AY$1,0))</f>
        <v>7.4429204110590366</v>
      </c>
      <c r="S14" s="26">
        <f>INDEX(m!$B$2:$AY$51,MATCH(table!$L14,m!$A$2:$A$51,0),MATCH(table!S$4,m!$B$1:$AY$1,0))</f>
        <v>4.7521261149139118</v>
      </c>
      <c r="T14" s="26"/>
      <c r="U14">
        <v>2.9102736941216798</v>
      </c>
      <c r="V14">
        <v>7.4429204110590366</v>
      </c>
      <c r="W14">
        <v>6.553735073590671</v>
      </c>
    </row>
    <row r="15" spans="2:23" ht="15.6" hidden="1" x14ac:dyDescent="0.3">
      <c r="B15" s="7"/>
      <c r="C15" s="10" t="s">
        <v>94</v>
      </c>
      <c r="D15" s="8"/>
      <c r="E15" s="8"/>
      <c r="F15" s="8"/>
      <c r="G15" s="30"/>
      <c r="H15" s="9"/>
      <c r="I15" s="9">
        <f t="shared" si="1"/>
        <v>15.678609303195991</v>
      </c>
      <c r="J15" s="9">
        <f t="shared" si="1"/>
        <v>4.2020169681447097</v>
      </c>
      <c r="L15" s="1" t="s">
        <v>107</v>
      </c>
      <c r="M15" s="26">
        <f>INDEX(m!$B$2:$AY$51,MATCH(table!$L15,m!$A$2:$A$51,0),MATCH(table!M$4,m!$B$1:$AY$1,0))</f>
        <v>5.5898366606170304</v>
      </c>
      <c r="N15" s="26">
        <f>INDEX(m!$B$2:$AY$51,MATCH(table!$L15,m!$A$2:$A$51,0),MATCH(table!N$4,m!$B$1:$AY$1,0))</f>
        <v>28.407739703815771</v>
      </c>
      <c r="O15" s="26">
        <f>INDEX(m!$B$2:$AY$51,MATCH(table!$L15,m!$A$2:$A$51,0),MATCH(table!O$4,m!$B$1:$AY$1,0))</f>
        <v>5.2341655938034144</v>
      </c>
      <c r="P15" s="26">
        <f>INDEX(m!$B$2:$AY$51,MATCH(table!$L15,m!$A$2:$A$51,0),MATCH(table!P$4,m!$B$1:$AY$1,0))</f>
        <v>-11.200995644057249</v>
      </c>
      <c r="Q15" s="26">
        <f>INDEX(m!$B$2:$AY$51,MATCH(table!$L15,m!$A$2:$A$51,0),MATCH(table!Q$4,m!$B$1:$AY$1,0))</f>
        <v>10.50789586000854</v>
      </c>
      <c r="R15" s="26">
        <f>INDEX(m!$B$2:$AY$51,MATCH(table!$L15,m!$A$2:$A$51,0),MATCH(table!R$4,m!$B$1:$AY$1,0))</f>
        <v>15.678609303195991</v>
      </c>
      <c r="S15" s="26">
        <f>INDEX(m!$B$2:$AY$51,MATCH(table!$L15,m!$A$2:$A$51,0),MATCH(table!S$4,m!$B$1:$AY$1,0))</f>
        <v>4.2020169681447097</v>
      </c>
      <c r="T15" s="26"/>
      <c r="U15">
        <v>2.6269739650021342</v>
      </c>
      <c r="V15">
        <v>3.919652325798999</v>
      </c>
      <c r="W15">
        <v>1.470767728548765</v>
      </c>
    </row>
    <row r="16" spans="2:23" ht="15.6" x14ac:dyDescent="0.3">
      <c r="B16" s="16"/>
      <c r="C16" s="19" t="s">
        <v>171</v>
      </c>
      <c r="D16" s="17"/>
      <c r="E16" s="17"/>
      <c r="F16" s="17"/>
      <c r="G16" s="31"/>
      <c r="H16" s="18">
        <f>Q16</f>
        <v>10.50789586000854</v>
      </c>
      <c r="I16" s="18">
        <f t="shared" si="1"/>
        <v>15.678609303195991</v>
      </c>
      <c r="J16" s="18">
        <f t="shared" si="1"/>
        <v>4.2020169681447097</v>
      </c>
      <c r="L16" s="1" t="s">
        <v>107</v>
      </c>
      <c r="M16" s="26">
        <f>INDEX(m!$B$2:$AY$51,MATCH(table!$L16,m!$A$2:$A$51,0),MATCH(table!M$4,m!$B$1:$AY$1,0))</f>
        <v>5.5898366606170304</v>
      </c>
      <c r="N16" s="26">
        <f>INDEX(m!$B$2:$AY$51,MATCH(table!$L16,m!$A$2:$A$51,0),MATCH(table!N$4,m!$B$1:$AY$1,0))</f>
        <v>28.407739703815771</v>
      </c>
      <c r="O16" s="26">
        <f>INDEX(m!$B$2:$AY$51,MATCH(table!$L16,m!$A$2:$A$51,0),MATCH(table!O$4,m!$B$1:$AY$1,0))</f>
        <v>5.2341655938034144</v>
      </c>
      <c r="P16" s="26">
        <f>INDEX(m!$B$2:$AY$51,MATCH(table!$L16,m!$A$2:$A$51,0),MATCH(table!P$4,m!$B$1:$AY$1,0))</f>
        <v>-11.200995644057249</v>
      </c>
      <c r="Q16" s="26">
        <f>INDEX(m!$B$2:$AY$51,MATCH(table!$L16,m!$A$2:$A$51,0),MATCH(table!Q$4,m!$B$1:$AY$1,0))</f>
        <v>10.50789586000854</v>
      </c>
      <c r="R16" s="26">
        <f>INDEX(m!$B$2:$AY$51,MATCH(table!$L16,m!$A$2:$A$51,0),MATCH(table!R$4,m!$B$1:$AY$1,0))</f>
        <v>15.678609303195991</v>
      </c>
      <c r="S16" s="26">
        <f>INDEX(m!$B$2:$AY$51,MATCH(table!$L16,m!$A$2:$A$51,0),MATCH(table!S$4,m!$B$1:$AY$1,0))</f>
        <v>4.2020169681447097</v>
      </c>
      <c r="T16" s="26"/>
      <c r="U16">
        <v>1.052742172725373</v>
      </c>
      <c r="V16">
        <v>0.62822164948453707</v>
      </c>
      <c r="W16">
        <v>-0.1900912437970203</v>
      </c>
    </row>
    <row r="17" spans="2:32" ht="15.6" x14ac:dyDescent="0.3">
      <c r="B17" s="7" t="s">
        <v>84</v>
      </c>
      <c r="C17" s="10" t="s">
        <v>96</v>
      </c>
      <c r="D17" s="8">
        <f t="shared" ref="D17:D19" si="8">M17</f>
        <v>6</v>
      </c>
      <c r="E17" s="8">
        <f t="shared" ref="E17:E19" si="9">N17</f>
        <v>13</v>
      </c>
      <c r="F17" s="8">
        <f t="shared" ref="F17:F19" si="10">O17</f>
        <v>13</v>
      </c>
      <c r="G17" s="30">
        <f t="shared" ref="G17:G19" si="11">P17</f>
        <v>10</v>
      </c>
      <c r="H17" s="9">
        <f>Q17</f>
        <v>11.715063861758081</v>
      </c>
      <c r="I17" s="9">
        <f t="shared" si="1"/>
        <v>12</v>
      </c>
      <c r="J17" s="9">
        <f t="shared" si="1"/>
        <v>12</v>
      </c>
      <c r="L17" s="1" t="s">
        <v>33</v>
      </c>
      <c r="M17" s="26">
        <f>INDEX(m!$B$2:$AY$51,MATCH(table!$L17,m!$A$2:$A$51,0),MATCH(table!M$4,m!$B$1:$AY$1,0))</f>
        <v>6</v>
      </c>
      <c r="N17" s="26">
        <f>INDEX(m!$B$2:$AY$51,MATCH(table!$L17,m!$A$2:$A$51,0),MATCH(table!N$4,m!$B$1:$AY$1,0))</f>
        <v>13</v>
      </c>
      <c r="O17" s="26">
        <f>INDEX(m!$B$2:$AY$51,MATCH(table!$L17,m!$A$2:$A$51,0),MATCH(table!O$4,m!$B$1:$AY$1,0))</f>
        <v>13</v>
      </c>
      <c r="P17" s="26">
        <f>INDEX(m!$B$2:$AY$51,MATCH(table!$L17,m!$A$2:$A$51,0),MATCH(table!P$4,m!$B$1:$AY$1,0))</f>
        <v>10</v>
      </c>
      <c r="Q17" s="26">
        <f>INDEX(m!$B$2:$AY$51,MATCH(table!$L17,m!$A$2:$A$51,0),MATCH(table!Q$4,m!$B$1:$AY$1,0))</f>
        <v>11.715063861758081</v>
      </c>
      <c r="R17" s="26">
        <f>INDEX(m!$B$2:$AY$51,MATCH(table!$L17,m!$A$2:$A$51,0),MATCH(table!R$4,m!$B$1:$AY$1,0))</f>
        <v>12</v>
      </c>
      <c r="S17" s="26">
        <f>INDEX(m!$B$2:$AY$51,MATCH(table!$L17,m!$A$2:$A$51,0),MATCH(table!S$4,m!$B$1:$AY$1,0))</f>
        <v>12</v>
      </c>
      <c r="T17" s="26"/>
      <c r="U17">
        <v>11.715063861758081</v>
      </c>
      <c r="V17">
        <v>12</v>
      </c>
      <c r="W17">
        <v>12</v>
      </c>
    </row>
    <row r="18" spans="2:32" ht="15.6" x14ac:dyDescent="0.3">
      <c r="B18" s="7" t="s">
        <v>85</v>
      </c>
      <c r="C18" s="10" t="s">
        <v>97</v>
      </c>
      <c r="D18" s="8">
        <f t="shared" si="8"/>
        <v>6.2153547132736557</v>
      </c>
      <c r="E18" s="8">
        <f t="shared" si="9"/>
        <v>11.083483500345279</v>
      </c>
      <c r="F18" s="8">
        <f t="shared" si="10"/>
        <v>11.789334173386029</v>
      </c>
      <c r="G18" s="30">
        <f t="shared" si="11"/>
        <v>12.13180013571343</v>
      </c>
      <c r="H18" s="9">
        <f>Q18</f>
        <v>11.794109889209199</v>
      </c>
      <c r="I18" s="9">
        <f t="shared" si="1"/>
        <v>12.154919249242569</v>
      </c>
      <c r="J18" s="9">
        <f t="shared" si="1"/>
        <v>12.20595930563152</v>
      </c>
      <c r="K18" s="1"/>
      <c r="L18" s="1" t="s">
        <v>35</v>
      </c>
      <c r="M18" s="26">
        <f>INDEX(m!$B$2:$AY$51,MATCH(table!$L18,m!$A$2:$A$51,0),MATCH(table!M$4,m!$B$1:$AY$1,0))</f>
        <v>6.2153547132736557</v>
      </c>
      <c r="N18" s="26">
        <f>INDEX(m!$B$2:$AY$51,MATCH(table!$L18,m!$A$2:$A$51,0),MATCH(table!N$4,m!$B$1:$AY$1,0))</f>
        <v>11.083483500345279</v>
      </c>
      <c r="O18" s="26">
        <f>INDEX(m!$B$2:$AY$51,MATCH(table!$L18,m!$A$2:$A$51,0),MATCH(table!O$4,m!$B$1:$AY$1,0))</f>
        <v>11.789334173386029</v>
      </c>
      <c r="P18" s="26">
        <f>INDEX(m!$B$2:$AY$51,MATCH(table!$L18,m!$A$2:$A$51,0),MATCH(table!P$4,m!$B$1:$AY$1,0))</f>
        <v>12.13180013571343</v>
      </c>
      <c r="Q18" s="26">
        <f>INDEX(m!$B$2:$AY$51,MATCH(table!$L18,m!$A$2:$A$51,0),MATCH(table!Q$4,m!$B$1:$AY$1,0))</f>
        <v>11.794109889209199</v>
      </c>
      <c r="R18" s="26">
        <f>INDEX(m!$B$2:$AY$51,MATCH(table!$L18,m!$A$2:$A$51,0),MATCH(table!R$4,m!$B$1:$AY$1,0))</f>
        <v>12.154919249242569</v>
      </c>
      <c r="S18" s="26">
        <f>INDEX(m!$B$2:$AY$51,MATCH(table!$L18,m!$A$2:$A$51,0),MATCH(table!S$4,m!$B$1:$AY$1,0))</f>
        <v>12.20595930563152</v>
      </c>
      <c r="T18" s="26"/>
      <c r="U18">
        <v>16.953088146593188</v>
      </c>
      <c r="V18">
        <v>17.272560229151559</v>
      </c>
      <c r="W18">
        <v>17.098680308978981</v>
      </c>
    </row>
    <row r="19" spans="2:32" ht="15.6" x14ac:dyDescent="0.3">
      <c r="B19" s="16" t="s">
        <v>86</v>
      </c>
      <c r="C19" s="19" t="s">
        <v>98</v>
      </c>
      <c r="D19" s="17">
        <f t="shared" si="8"/>
        <v>14.28649946213949</v>
      </c>
      <c r="E19" s="17">
        <f t="shared" si="9"/>
        <v>15.71565684936334</v>
      </c>
      <c r="F19" s="17">
        <f t="shared" si="10"/>
        <v>16.73857615499422</v>
      </c>
      <c r="G19" s="31">
        <f t="shared" si="11"/>
        <v>16.912678651127429</v>
      </c>
      <c r="H19" s="18">
        <f>Q19</f>
        <v>16.953088146593188</v>
      </c>
      <c r="I19" s="18">
        <f t="shared" si="1"/>
        <v>17.272560229151559</v>
      </c>
      <c r="J19" s="18">
        <f t="shared" si="1"/>
        <v>17.260007793310692</v>
      </c>
      <c r="L19" s="1" t="s">
        <v>34</v>
      </c>
      <c r="M19" s="26">
        <f>INDEX(m!$B$2:$AY$51,MATCH(table!$L19,m!$A$2:$A$51,0),MATCH(table!M$4,m!$B$1:$AY$1,0))</f>
        <v>14.28649946213949</v>
      </c>
      <c r="N19" s="26">
        <f>INDEX(m!$B$2:$AY$51,MATCH(table!$L19,m!$A$2:$A$51,0),MATCH(table!N$4,m!$B$1:$AY$1,0))</f>
        <v>15.71565684936334</v>
      </c>
      <c r="O19" s="26">
        <f>INDEX(m!$B$2:$AY$51,MATCH(table!$L19,m!$A$2:$A$51,0),MATCH(table!O$4,m!$B$1:$AY$1,0))</f>
        <v>16.73857615499422</v>
      </c>
      <c r="P19" s="26">
        <f>INDEX(m!$B$2:$AY$51,MATCH(table!$L19,m!$A$2:$A$51,0),MATCH(table!P$4,m!$B$1:$AY$1,0))</f>
        <v>16.912678651127429</v>
      </c>
      <c r="Q19" s="26">
        <f>INDEX(m!$B$2:$AY$51,MATCH(table!$L19,m!$A$2:$A$51,0),MATCH(table!Q$4,m!$B$1:$AY$1,0))</f>
        <v>16.953088146593188</v>
      </c>
      <c r="R19" s="26">
        <f>INDEX(m!$B$2:$AY$51,MATCH(table!$L19,m!$A$2:$A$51,0),MATCH(table!R$4,m!$B$1:$AY$1,0))</f>
        <v>17.272560229151559</v>
      </c>
      <c r="S19" s="26">
        <f>INDEX(m!$B$2:$AY$51,MATCH(table!$L19,m!$A$2:$A$51,0),MATCH(table!S$4,m!$B$1:$AY$1,0))</f>
        <v>17.260007793310692</v>
      </c>
      <c r="T19" s="26"/>
      <c r="U19">
        <v>11.794109889209199</v>
      </c>
      <c r="V19">
        <v>12.154919249242569</v>
      </c>
      <c r="W19">
        <v>11.66490388052037</v>
      </c>
    </row>
    <row r="20" spans="2:32" ht="15.6" x14ac:dyDescent="0.3">
      <c r="B20" s="7" t="s">
        <v>87</v>
      </c>
      <c r="C20" s="10" t="s">
        <v>93</v>
      </c>
      <c r="D20" s="8">
        <f>M20</f>
        <v>13.817914802333361</v>
      </c>
      <c r="E20" s="8">
        <f t="shared" ref="E20" si="12">N20</f>
        <v>6.4648482371675398</v>
      </c>
      <c r="F20" s="8">
        <f t="shared" ref="F20" si="13">O20</f>
        <v>26.830691873024271</v>
      </c>
      <c r="G20" s="30">
        <f t="shared" ref="G20" si="14">P20</f>
        <v>15.17612709212051</v>
      </c>
      <c r="H20" s="9">
        <f>Q20</f>
        <v>10.91755299220439</v>
      </c>
      <c r="I20" s="9">
        <f t="shared" si="1"/>
        <v>3.6945069787764342</v>
      </c>
      <c r="J20" s="9">
        <f t="shared" si="1"/>
        <v>5.5599995668752857</v>
      </c>
      <c r="L20" s="1" t="s">
        <v>36</v>
      </c>
      <c r="M20" s="26">
        <f>INDEX(m!$B$2:$AY$51,MATCH(table!$L20,m!$A$2:$A$51,0),MATCH(table!M$4,m!$B$1:$AY$1,0))</f>
        <v>13.817914802333361</v>
      </c>
      <c r="N20" s="26">
        <f>INDEX(m!$B$2:$AY$51,MATCH(table!$L20,m!$A$2:$A$51,0),MATCH(table!N$4,m!$B$1:$AY$1,0))</f>
        <v>6.4648482371675398</v>
      </c>
      <c r="O20" s="26">
        <f>INDEX(m!$B$2:$AY$51,MATCH(table!$L20,m!$A$2:$A$51,0),MATCH(table!O$4,m!$B$1:$AY$1,0))</f>
        <v>26.830691873024271</v>
      </c>
      <c r="P20" s="26">
        <f>INDEX(m!$B$2:$AY$51,MATCH(table!$L20,m!$A$2:$A$51,0),MATCH(table!P$4,m!$B$1:$AY$1,0))</f>
        <v>15.17612709212051</v>
      </c>
      <c r="Q20" s="26">
        <f>INDEX(m!$B$2:$AY$51,MATCH(table!$L20,m!$A$2:$A$51,0),MATCH(table!Q$4,m!$B$1:$AY$1,0))</f>
        <v>10.91755299220439</v>
      </c>
      <c r="R20" s="26">
        <f>INDEX(m!$B$2:$AY$51,MATCH(table!$L20,m!$A$2:$A$51,0),MATCH(table!R$4,m!$B$1:$AY$1,0))</f>
        <v>3.6945069787764342</v>
      </c>
      <c r="S20" s="26">
        <f>INDEX(m!$B$2:$AY$51,MATCH(table!$L20,m!$A$2:$A$51,0),MATCH(table!S$4,m!$B$1:$AY$1,0))</f>
        <v>5.5599995668752857</v>
      </c>
      <c r="T20" s="26"/>
      <c r="U20">
        <v>10.91755299220439</v>
      </c>
      <c r="V20">
        <v>3.6945069787764342</v>
      </c>
      <c r="W20">
        <v>3.183103807673151</v>
      </c>
    </row>
    <row r="21" spans="2:32" ht="16.2" customHeight="1" x14ac:dyDescent="0.3">
      <c r="B21" s="7"/>
      <c r="C21" s="19" t="s">
        <v>171</v>
      </c>
      <c r="D21" s="8"/>
      <c r="E21" s="8"/>
      <c r="F21" s="8"/>
      <c r="G21" s="30"/>
      <c r="H21" s="9"/>
      <c r="I21" s="9">
        <f t="shared" si="1"/>
        <v>14.617220327063521</v>
      </c>
      <c r="J21" s="9">
        <f t="shared" si="1"/>
        <v>10.489941875397321</v>
      </c>
      <c r="L21" s="1" t="s">
        <v>37</v>
      </c>
      <c r="M21" s="26">
        <f>INDEX(m!$B$2:$AY$51,MATCH(table!$L21,m!$A$2:$A$51,0),MATCH(table!M$4,m!$B$1:$AY$1,0))</f>
        <v>8.8922851864313905</v>
      </c>
      <c r="N21" s="26">
        <f>INDEX(m!$B$2:$AY$51,MATCH(table!$L21,m!$A$2:$A$51,0),MATCH(table!N$4,m!$B$1:$AY$1,0))</f>
        <v>32.068314619396382</v>
      </c>
      <c r="O21" s="26">
        <f>INDEX(m!$B$2:$AY$51,MATCH(table!$L21,m!$A$2:$A$51,0),MATCH(table!O$4,m!$B$1:$AY$1,0))</f>
        <v>53.155141066877967</v>
      </c>
      <c r="P21" s="26">
        <f>INDEX(m!$B$2:$AY$51,MATCH(table!$L21,m!$A$2:$A$51,0),MATCH(table!P$4,m!$B$1:$AY$1,0))</f>
        <v>14.65192559980372</v>
      </c>
      <c r="Q21" s="26">
        <f>INDEX(m!$B$2:$AY$51,MATCH(table!$L21,m!$A$2:$A$51,0),MATCH(table!Q$4,m!$B$1:$AY$1,0))</f>
        <v>-17.081981721982</v>
      </c>
      <c r="R21" s="26">
        <f>INDEX(m!$B$2:$AY$51,MATCH(table!$L21,m!$A$2:$A$51,0),MATCH(table!R$4,m!$B$1:$AY$1,0))</f>
        <v>14.617220327063521</v>
      </c>
      <c r="S21" s="26">
        <f>INDEX(m!$B$2:$AY$51,MATCH(table!$L21,m!$A$2:$A$51,0),MATCH(table!S$4,m!$B$1:$AY$1,0))</f>
        <v>10.489941875397321</v>
      </c>
      <c r="T21" s="26"/>
      <c r="U21">
        <v>-4.270495430495501</v>
      </c>
      <c r="V21">
        <v>3.6543050817658802</v>
      </c>
      <c r="W21">
        <v>3.7934650891332309</v>
      </c>
    </row>
    <row r="22" spans="2:32" ht="15.6" x14ac:dyDescent="0.3">
      <c r="B22" s="7"/>
      <c r="C22" s="10" t="s">
        <v>99</v>
      </c>
      <c r="D22" s="8">
        <f t="shared" ref="D22" si="15">M22</f>
        <v>27.863476539423861</v>
      </c>
      <c r="E22" s="8">
        <f t="shared" ref="E22" si="16">N22</f>
        <v>29.664808011296401</v>
      </c>
      <c r="F22" s="8">
        <f t="shared" ref="F22" si="17">O22</f>
        <v>37.624081243531563</v>
      </c>
      <c r="G22" s="30">
        <f t="shared" ref="G22" si="18">P22</f>
        <v>43.333959630292583</v>
      </c>
      <c r="H22" s="9">
        <f>Q22</f>
        <v>41.483384864428167</v>
      </c>
      <c r="I22" s="9">
        <f t="shared" si="1"/>
        <v>42.999314305617467</v>
      </c>
      <c r="J22" s="9">
        <f t="shared" si="1"/>
        <v>44.126965074987133</v>
      </c>
      <c r="L22" s="1" t="s">
        <v>39</v>
      </c>
      <c r="M22" s="26">
        <f>INDEX(m!$B$2:$AY$51,MATCH(table!$L22,m!$A$2:$A$51,0),MATCH(table!M$4,m!$B$1:$AY$1,0))</f>
        <v>27.863476539423861</v>
      </c>
      <c r="N22" s="26">
        <f>INDEX(m!$B$2:$AY$51,MATCH(table!$L22,m!$A$2:$A$51,0),MATCH(table!N$4,m!$B$1:$AY$1,0))</f>
        <v>29.664808011296401</v>
      </c>
      <c r="O22" s="26">
        <f>INDEX(m!$B$2:$AY$51,MATCH(table!$L22,m!$A$2:$A$51,0),MATCH(table!O$4,m!$B$1:$AY$1,0))</f>
        <v>37.624081243531563</v>
      </c>
      <c r="P22" s="26">
        <f>INDEX(m!$B$2:$AY$51,MATCH(table!$L22,m!$A$2:$A$51,0),MATCH(table!P$4,m!$B$1:$AY$1,0))</f>
        <v>43.333959630292583</v>
      </c>
      <c r="Q22" s="26">
        <f>INDEX(m!$B$2:$AY$51,MATCH(table!$L22,m!$A$2:$A$51,0),MATCH(table!Q$4,m!$B$1:$AY$1,0))</f>
        <v>41.483384864428167</v>
      </c>
      <c r="R22" s="26">
        <f>INDEX(m!$B$2:$AY$51,MATCH(table!$L22,m!$A$2:$A$51,0),MATCH(table!R$4,m!$B$1:$AY$1,0))</f>
        <v>42.999314305617467</v>
      </c>
      <c r="S22" s="26">
        <f>INDEX(m!$B$2:$AY$51,MATCH(table!$L22,m!$A$2:$A$51,0),MATCH(table!S$4,m!$B$1:$AY$1,0))</f>
        <v>44.126965074987133</v>
      </c>
      <c r="T22" s="26"/>
      <c r="U22">
        <v>41.483384864428167</v>
      </c>
      <c r="V22">
        <v>42.999314305617467</v>
      </c>
      <c r="W22">
        <v>43.08356611961225</v>
      </c>
    </row>
    <row r="23" spans="2:32" ht="15.6" x14ac:dyDescent="0.3">
      <c r="B23" s="16"/>
      <c r="C23" s="19" t="s">
        <v>100</v>
      </c>
      <c r="D23" s="17">
        <f t="shared" ref="D23:D24" si="19">M23</f>
        <v>63.972371928095207</v>
      </c>
      <c r="E23" s="17">
        <f t="shared" ref="E23:E24" si="20">N23</f>
        <v>55.086271604304059</v>
      </c>
      <c r="F23" s="17">
        <f t="shared" ref="F23:F24" si="21">O23</f>
        <v>53.411799508890972</v>
      </c>
      <c r="G23" s="31">
        <f>P23</f>
        <v>53.722192618640939</v>
      </c>
      <c r="H23" s="18">
        <f>Q23</f>
        <v>50.887918363219313</v>
      </c>
      <c r="I23" s="18">
        <f>R23</f>
        <v>51.23849517539508</v>
      </c>
      <c r="J23" s="18">
        <f>J22/J62*100</f>
        <v>54.130814148632965</v>
      </c>
      <c r="L23" s="1" t="s">
        <v>40</v>
      </c>
      <c r="M23" s="26">
        <f>INDEX(m!$B$2:$AY$51,MATCH(table!$L23,m!$A$2:$A$51,0),MATCH(table!M$4,m!$B$1:$AY$1,0))</f>
        <v>63.972371928095207</v>
      </c>
      <c r="N23" s="26">
        <f>INDEX(m!$B$2:$AY$51,MATCH(table!$L23,m!$A$2:$A$51,0),MATCH(table!N$4,m!$B$1:$AY$1,0))</f>
        <v>55.086271604304059</v>
      </c>
      <c r="O23" s="26">
        <f>INDEX(m!$B$2:$AY$51,MATCH(table!$L23,m!$A$2:$A$51,0),MATCH(table!O$4,m!$B$1:$AY$1,0))</f>
        <v>53.411799508890972</v>
      </c>
      <c r="P23" s="26">
        <f>INDEX(m!$B$2:$AY$51,MATCH(table!$L23,m!$A$2:$A$51,0),MATCH(table!P$4,m!$B$1:$AY$1,0))</f>
        <v>53.722192618640939</v>
      </c>
      <c r="Q23" s="26">
        <f>INDEX(m!$B$2:$AY$51,MATCH(table!$L23,m!$A$2:$A$51,0),MATCH(table!Q$4,m!$B$1:$AY$1,0))</f>
        <v>50.887918363219313</v>
      </c>
      <c r="R23" s="26">
        <f>INDEX(m!$B$2:$AY$51,MATCH(table!$L23,m!$A$2:$A$51,0),MATCH(table!R$4,m!$B$1:$AY$1,0))</f>
        <v>51.23849517539508</v>
      </c>
      <c r="S23" s="26">
        <f>INDEX(m!$B$2:$AY$51,MATCH(table!$L23,m!$A$2:$A$51,0),MATCH(table!S$4,m!$B$1:$AY$1,0))</f>
        <v>51.696157670506317</v>
      </c>
      <c r="T23" s="26"/>
      <c r="U23">
        <v>50.307353045806948</v>
      </c>
    </row>
    <row r="24" spans="2:32" ht="15.6" x14ac:dyDescent="0.3">
      <c r="B24" s="7" t="s">
        <v>88</v>
      </c>
      <c r="C24" s="10" t="s">
        <v>93</v>
      </c>
      <c r="D24" s="8">
        <f t="shared" si="19"/>
        <v>21.85680120907001</v>
      </c>
      <c r="E24" s="8">
        <f t="shared" si="20"/>
        <v>8.3267970247389993</v>
      </c>
      <c r="F24" s="8">
        <f t="shared" si="21"/>
        <v>21.879296396946099</v>
      </c>
      <c r="G24" s="30">
        <f>P24</f>
        <v>34.618690219088762</v>
      </c>
      <c r="H24" s="9">
        <f>Q24</f>
        <v>32.779265533701498</v>
      </c>
      <c r="I24" s="9">
        <f t="shared" si="1"/>
        <v>27.10913929631257</v>
      </c>
      <c r="J24" s="9">
        <f t="shared" si="1"/>
        <v>22.760333031442698</v>
      </c>
      <c r="L24" s="1" t="s">
        <v>41</v>
      </c>
      <c r="M24" s="26">
        <f>INDEX(m!$B$2:$AY$51,MATCH(table!$L24,m!$A$2:$A$51,0),MATCH(table!M$4,m!$B$1:$AY$1,0))</f>
        <v>21.85680120907001</v>
      </c>
      <c r="N24" s="26">
        <f>INDEX(m!$B$2:$AY$51,MATCH(table!$L24,m!$A$2:$A$51,0),MATCH(table!N$4,m!$B$1:$AY$1,0))</f>
        <v>8.3267970247389993</v>
      </c>
      <c r="O24" s="26">
        <f>INDEX(m!$B$2:$AY$51,MATCH(table!$L24,m!$A$2:$A$51,0),MATCH(table!O$4,m!$B$1:$AY$1,0))</f>
        <v>21.879296396946099</v>
      </c>
      <c r="P24" s="26">
        <f>INDEX(m!$B$2:$AY$51,MATCH(table!$L24,m!$A$2:$A$51,0),MATCH(table!P$4,m!$B$1:$AY$1,0))</f>
        <v>34.618690219088762</v>
      </c>
      <c r="Q24" s="26">
        <f>INDEX(m!$B$2:$AY$51,MATCH(table!$L24,m!$A$2:$A$51,0),MATCH(table!Q$4,m!$B$1:$AY$1,0))</f>
        <v>32.779265533701498</v>
      </c>
      <c r="R24" s="26">
        <f>INDEX(m!$B$2:$AY$51,MATCH(table!$L24,m!$A$2:$A$51,0),MATCH(table!R$4,m!$B$1:$AY$1,0))</f>
        <v>27.10913929631257</v>
      </c>
      <c r="S24" s="26">
        <f>INDEX(m!$B$2:$AY$51,MATCH(table!$L24,m!$A$2:$A$51,0),MATCH(table!S$4,m!$B$1:$AY$1,0))</f>
        <v>22.760333031442698</v>
      </c>
      <c r="T24" s="26"/>
      <c r="U24">
        <v>32.779265533701484</v>
      </c>
      <c r="V24">
        <v>27.10913929631257</v>
      </c>
      <c r="W24">
        <v>27.384671336286221</v>
      </c>
    </row>
    <row r="25" spans="2:32" ht="15.6" x14ac:dyDescent="0.3">
      <c r="B25" s="7"/>
      <c r="C25" s="19" t="s">
        <v>171</v>
      </c>
      <c r="D25" s="8"/>
      <c r="E25" s="8"/>
      <c r="F25" s="8"/>
      <c r="G25" s="30"/>
      <c r="H25" s="9">
        <f t="shared" si="1"/>
        <v>19.73267110455669</v>
      </c>
      <c r="I25" s="9">
        <f t="shared" si="1"/>
        <v>39.591237411203522</v>
      </c>
      <c r="J25" s="9">
        <f t="shared" si="1"/>
        <v>5.8031325330500962</v>
      </c>
      <c r="L25" s="1" t="s">
        <v>42</v>
      </c>
      <c r="M25" s="26">
        <f>INDEX(m!$B$2:$AY$51,MATCH(table!$L25,m!$A$2:$A$51,0),MATCH(table!M$4,m!$B$1:$AY$1,0))</f>
        <v>13.679302542862439</v>
      </c>
      <c r="N25" s="26">
        <f>INDEX(m!$B$2:$AY$51,MATCH(table!$L25,m!$A$2:$A$51,0),MATCH(table!N$4,m!$B$1:$AY$1,0))</f>
        <v>-6.8829885204692287</v>
      </c>
      <c r="O25" s="26">
        <f>INDEX(m!$B$2:$AY$51,MATCH(table!$L25,m!$A$2:$A$51,0),MATCH(table!O$4,m!$B$1:$AY$1,0))</f>
        <v>19.694894381119958</v>
      </c>
      <c r="P25" s="26">
        <f>INDEX(m!$B$2:$AY$51,MATCH(table!$L25,m!$A$2:$A$51,0),MATCH(table!P$4,m!$B$1:$AY$1,0))</f>
        <v>19.721122967704229</v>
      </c>
      <c r="Q25" s="26">
        <f>INDEX(m!$B$2:$AY$51,MATCH(table!$L25,m!$A$2:$A$51,0),MATCH(table!Q$4,m!$B$1:$AY$1,0))</f>
        <v>19.73267110455669</v>
      </c>
      <c r="R25" s="26">
        <f>INDEX(m!$B$2:$AY$51,MATCH(table!$L25,m!$A$2:$A$51,0),MATCH(table!R$4,m!$B$1:$AY$1,0))</f>
        <v>39.591237411203522</v>
      </c>
      <c r="S25" s="26">
        <f>INDEX(m!$B$2:$AY$51,MATCH(table!$L25,m!$A$2:$A$51,0),MATCH(table!S$4,m!$B$1:$AY$1,0))</f>
        <v>5.8031325330500962</v>
      </c>
      <c r="T25" s="26"/>
      <c r="U25">
        <v>4.9331677761391584</v>
      </c>
      <c r="V25">
        <v>9.8978093528008824</v>
      </c>
      <c r="W25">
        <v>7.6359818186297668</v>
      </c>
      <c r="AD25">
        <f>H22/H23*100</f>
        <v>81.519123199999981</v>
      </c>
    </row>
    <row r="26" spans="2:32" ht="15" customHeight="1" x14ac:dyDescent="0.3">
      <c r="B26" s="7"/>
      <c r="C26" s="10" t="s">
        <v>99</v>
      </c>
      <c r="D26" s="8">
        <f>M26</f>
        <v>20.1974348</v>
      </c>
      <c r="E26" s="8">
        <f t="shared" ref="E26:J26" si="22">N26</f>
        <v>21.879234199999999</v>
      </c>
      <c r="F26" s="8">
        <f t="shared" si="22"/>
        <v>26.666256700000002</v>
      </c>
      <c r="G26" s="30">
        <f t="shared" si="22"/>
        <v>35.897765499999998</v>
      </c>
      <c r="H26" s="9">
        <f t="shared" si="22"/>
        <v>37.668662500000003</v>
      </c>
      <c r="I26" s="9">
        <f t="shared" si="22"/>
        <v>41.397034900000001</v>
      </c>
      <c r="J26" s="9">
        <f t="shared" si="22"/>
        <v>41.997616100000002</v>
      </c>
      <c r="L26" s="1" t="s">
        <v>168</v>
      </c>
      <c r="M26" s="26">
        <f>INDEX(m!$B$2:$AY$51,MATCH(table!$L26,m!$A$2:$A$51,0),MATCH(table!M$4,m!$B$1:$AY$1,0))</f>
        <v>20.1974348</v>
      </c>
      <c r="N26" s="26">
        <f>INDEX(m!$B$2:$AY$51,MATCH(table!$L26,m!$A$2:$A$51,0),MATCH(table!N$4,m!$B$1:$AY$1,0))</f>
        <v>21.879234199999999</v>
      </c>
      <c r="O26" s="26">
        <f>INDEX(m!$B$2:$AY$51,MATCH(table!$L26,m!$A$2:$A$51,0),MATCH(table!O$4,m!$B$1:$AY$1,0))</f>
        <v>26.666256700000002</v>
      </c>
      <c r="P26" s="26">
        <f>INDEX(m!$B$2:$AY$51,MATCH(table!$L26,m!$A$2:$A$51,0),MATCH(table!P$4,m!$B$1:$AY$1,0))</f>
        <v>35.897765499999998</v>
      </c>
      <c r="Q26" s="26">
        <f>INDEX(m!$B$2:$AY$51,MATCH(table!$L26,m!$A$2:$A$51,0),MATCH(table!Q$4,m!$B$1:$AY$1,0))</f>
        <v>37.668662500000003</v>
      </c>
      <c r="R26" s="26">
        <f>INDEX(m!$B$2:$AY$51,MATCH(table!$L26,m!$A$2:$A$51,0),MATCH(table!R$4,m!$B$1:$AY$1,0))</f>
        <v>41.397034900000001</v>
      </c>
      <c r="S26" s="26">
        <f>INDEX(m!$B$2:$AY$51,MATCH(table!$L26,m!$A$2:$A$51,0),MATCH(table!S$4,m!$B$1:$AY$1,0))</f>
        <v>41.997616100000002</v>
      </c>
      <c r="T26" s="26"/>
    </row>
    <row r="27" spans="2:32" ht="15.6" x14ac:dyDescent="0.3">
      <c r="B27" s="16"/>
      <c r="C27" s="19" t="s">
        <v>100</v>
      </c>
      <c r="D27" s="17">
        <f>D26/D62*100</f>
        <v>46.377577037887491</v>
      </c>
      <c r="E27" s="17">
        <f t="shared" ref="E27:J27" si="23">E26/E62*100</f>
        <v>40.629961374187559</v>
      </c>
      <c r="F27" s="17">
        <f t="shared" si="23"/>
        <v>37.856696053378762</v>
      </c>
      <c r="G27" s="31">
        <f t="shared" si="23"/>
        <v>44.505040292586159</v>
      </c>
      <c r="H27" s="18">
        <f t="shared" si="23"/>
        <v>46.208375435519912</v>
      </c>
      <c r="I27" s="18">
        <f t="shared" si="23"/>
        <v>50.781992341154151</v>
      </c>
      <c r="J27" s="18">
        <f t="shared" si="23"/>
        <v>51.518728920774272</v>
      </c>
      <c r="L27" s="1" t="s">
        <v>44</v>
      </c>
      <c r="M27" s="26">
        <f>INDEX(m!$B$2:$AY$51,MATCH(table!$L27,m!$A$2:$A$51,0),MATCH(table!M$4,m!$B$1:$AY$1,0))</f>
        <v>4.6371737180423279E-5</v>
      </c>
      <c r="N27" s="26">
        <f>INDEX(m!$B$2:$AY$51,MATCH(table!$L27,m!$A$2:$A$51,0),MATCH(table!N$4,m!$B$1:$AY$1,0))</f>
        <v>4.0628796153894511E-5</v>
      </c>
      <c r="O27" s="26">
        <f>INDEX(m!$B$2:$AY$51,MATCH(table!$L27,m!$A$2:$A$51,0),MATCH(table!O$4,m!$B$1:$AY$1,0))</f>
        <v>3.785588137804399E-5</v>
      </c>
      <c r="P27" s="26">
        <f>INDEX(m!$B$2:$AY$51,MATCH(table!$L27,m!$A$2:$A$51,0),MATCH(table!P$4,m!$B$1:$AY$1,0))</f>
        <v>4.4503356933523378E-5</v>
      </c>
      <c r="Q27" s="26">
        <f>INDEX(m!$B$2:$AY$51,MATCH(table!$L27,m!$A$2:$A$51,0),MATCH(table!Q$4,m!$B$1:$AY$1,0))</f>
        <v>4.6208375435519887E-5</v>
      </c>
      <c r="R27" s="26">
        <f>INDEX(m!$B$2:$AY$51,MATCH(table!$L27,m!$A$2:$A$51,0),MATCH(table!R$4,m!$B$1:$AY$1,0))</f>
        <v>4.9329199947781647E-5</v>
      </c>
      <c r="S27" s="26">
        <f>INDEX(m!$B$2:$AY$51,MATCH(table!$L27,m!$A$2:$A$51,0),MATCH(table!S$4,m!$B$1:$AY$1,0))</f>
        <v>4.9201556916536432E-5</v>
      </c>
      <c r="T27" s="26"/>
      <c r="U27">
        <v>45.681197649225894</v>
      </c>
    </row>
    <row r="28" spans="2:32" ht="15.6" x14ac:dyDescent="0.3">
      <c r="B28" s="7" t="s">
        <v>89</v>
      </c>
      <c r="C28" s="10" t="s">
        <v>93</v>
      </c>
      <c r="D28" s="8">
        <f>M28</f>
        <v>21.78852919186593</v>
      </c>
      <c r="E28" s="8">
        <f>N28</f>
        <v>11.13941083295127</v>
      </c>
      <c r="F28" s="8">
        <f>O28</f>
        <v>32.454539064334092</v>
      </c>
      <c r="G28" s="30">
        <f>P28</f>
        <v>42.418935623269718</v>
      </c>
      <c r="H28" s="9">
        <f>Q28</f>
        <v>36.083349366243581</v>
      </c>
      <c r="I28" s="9">
        <f t="shared" ref="H28:J30" si="24">R28</f>
        <v>26.618681867853152</v>
      </c>
      <c r="J28" s="9">
        <f t="shared" si="24"/>
        <v>21.313131997167542</v>
      </c>
      <c r="L28" s="1" t="s">
        <v>45</v>
      </c>
      <c r="M28" s="26">
        <f>INDEX(m!$B$2:$AY$51,MATCH(table!$L28,m!$A$2:$A$51,0),MATCH(table!M$4,m!$B$1:$AY$1,0))</f>
        <v>21.78852919186593</v>
      </c>
      <c r="N28" s="26">
        <f>INDEX(m!$B$2:$AY$51,MATCH(table!$L28,m!$A$2:$A$51,0),MATCH(table!N$4,m!$B$1:$AY$1,0))</f>
        <v>11.13941083295127</v>
      </c>
      <c r="O28" s="26">
        <f>INDEX(m!$B$2:$AY$51,MATCH(table!$L28,m!$A$2:$A$51,0),MATCH(table!O$4,m!$B$1:$AY$1,0))</f>
        <v>32.454539064334092</v>
      </c>
      <c r="P28" s="26">
        <f>INDEX(m!$B$2:$AY$51,MATCH(table!$L28,m!$A$2:$A$51,0),MATCH(table!P$4,m!$B$1:$AY$1,0))</f>
        <v>42.418935623269718</v>
      </c>
      <c r="Q28" s="26">
        <f>INDEX(m!$B$2:$AY$51,MATCH(table!$L28,m!$A$2:$A$51,0),MATCH(table!Q$4,m!$B$1:$AY$1,0))</f>
        <v>36.083349366243581</v>
      </c>
      <c r="R28" s="26">
        <f>INDEX(m!$B$2:$AY$51,MATCH(table!$L28,m!$A$2:$A$51,0),MATCH(table!R$4,m!$B$1:$AY$1,0))</f>
        <v>26.618681867853152</v>
      </c>
      <c r="S28" s="26">
        <f>INDEX(m!$B$2:$AY$51,MATCH(table!$L28,m!$A$2:$A$51,0),MATCH(table!S$4,m!$B$1:$AY$1,0))</f>
        <v>21.313131997167542</v>
      </c>
      <c r="T28" s="26"/>
      <c r="U28">
        <v>36.083349366243588</v>
      </c>
      <c r="V28">
        <v>26.618681867853152</v>
      </c>
      <c r="W28">
        <v>27.245571656741738</v>
      </c>
      <c r="AD28" s="35">
        <f>H27*$AD$25/100</f>
        <v>37.668662500000003</v>
      </c>
      <c r="AE28" t="e">
        <f>AD28*(1+#REF!/100)</f>
        <v>#REF!</v>
      </c>
      <c r="AF28" t="e">
        <f>AE28*(1+#REF!/100)</f>
        <v>#REF!</v>
      </c>
    </row>
    <row r="29" spans="2:32" ht="15.6" x14ac:dyDescent="0.3">
      <c r="B29" s="7"/>
      <c r="C29" s="19" t="s">
        <v>171</v>
      </c>
      <c r="D29" s="8"/>
      <c r="E29" s="8"/>
      <c r="F29" s="8"/>
      <c r="G29" s="30"/>
      <c r="H29" s="9">
        <f t="shared" si="24"/>
        <v>20.45740628666222</v>
      </c>
      <c r="I29" s="9">
        <f t="shared" si="24"/>
        <v>26.65886836312729</v>
      </c>
      <c r="J29" s="9">
        <f t="shared" si="24"/>
        <v>11.93086354452246</v>
      </c>
      <c r="L29" s="1" t="s">
        <v>46</v>
      </c>
      <c r="M29" s="26">
        <f>INDEX(m!$B$2:$AY$51,MATCH(table!$L29,m!$A$2:$A$51,0),MATCH(table!M$4,m!$B$1:$AY$1,0))</f>
        <v>13.24644092518349</v>
      </c>
      <c r="N29" s="26">
        <f>INDEX(m!$B$2:$AY$51,MATCH(table!$L29,m!$A$2:$A$51,0),MATCH(table!N$4,m!$B$1:$AY$1,0))</f>
        <v>-1.031914648486522</v>
      </c>
      <c r="O29" s="26">
        <f>INDEX(m!$B$2:$AY$51,MATCH(table!$L29,m!$A$2:$A$51,0),MATCH(table!O$4,m!$B$1:$AY$1,0))</f>
        <v>19.474926929586939</v>
      </c>
      <c r="P29" s="26">
        <f>INDEX(m!$B$2:$AY$51,MATCH(table!$L29,m!$A$2:$A$51,0),MATCH(table!P$4,m!$B$1:$AY$1,0))</f>
        <v>20.262523773058199</v>
      </c>
      <c r="Q29" s="26">
        <f>INDEX(m!$B$2:$AY$51,MATCH(table!$L29,m!$A$2:$A$51,0),MATCH(table!Q$4,m!$B$1:$AY$1,0))</f>
        <v>20.45740628666222</v>
      </c>
      <c r="R29" s="26">
        <f>INDEX(m!$B$2:$AY$51,MATCH(table!$L29,m!$A$2:$A$51,0),MATCH(table!R$4,m!$B$1:$AY$1,0))</f>
        <v>26.65886836312729</v>
      </c>
      <c r="S29" s="26">
        <f>INDEX(m!$B$2:$AY$51,MATCH(table!$L29,m!$A$2:$A$51,0),MATCH(table!S$4,m!$B$1:$AY$1,0))</f>
        <v>11.93086354452246</v>
      </c>
      <c r="T29" s="26"/>
      <c r="U29">
        <v>5.1143515716655514</v>
      </c>
      <c r="V29">
        <v>6.6647170907818269</v>
      </c>
      <c r="W29">
        <v>6.0303269933857644</v>
      </c>
      <c r="AE29" t="e">
        <f>AE28/$AD$25*100</f>
        <v>#REF!</v>
      </c>
      <c r="AF29" t="e">
        <f>AF28/$AD$25*100</f>
        <v>#REF!</v>
      </c>
    </row>
    <row r="30" spans="2:32" ht="15" customHeight="1" x14ac:dyDescent="0.3">
      <c r="B30" s="7"/>
      <c r="C30" s="10" t="s">
        <v>99</v>
      </c>
      <c r="D30" s="8">
        <f>M30</f>
        <v>10.60069278529066</v>
      </c>
      <c r="E30" s="8">
        <f t="shared" ref="E30" si="25">N30</f>
        <v>11.781547505783211</v>
      </c>
      <c r="F30" s="8">
        <f t="shared" ref="F30" si="26">O30</f>
        <v>15.605194443430699</v>
      </c>
      <c r="G30" s="30">
        <f t="shared" ref="G30" si="27">P30</f>
        <v>22.224751828275629</v>
      </c>
      <c r="H30" s="9">
        <f t="shared" ref="H30" si="28">Q30</f>
        <v>23.36140377270382</v>
      </c>
      <c r="I30" s="9">
        <f t="shared" si="24"/>
        <v>24.918375242589761</v>
      </c>
      <c r="J30" s="9">
        <f t="shared" si="24"/>
        <v>25.66161957951612</v>
      </c>
      <c r="L30" s="1" t="s">
        <v>169</v>
      </c>
      <c r="M30" s="26">
        <f>INDEX(m!$B$2:$AY$51,MATCH(table!$L30,m!$A$2:$A$51,0),MATCH(table!M$4,m!$B$1:$AY$1,0))</f>
        <v>10.60069278529066</v>
      </c>
      <c r="N30" s="26">
        <f>INDEX(m!$B$2:$AY$51,MATCH(table!$L30,m!$A$2:$A$51,0),MATCH(table!N$4,m!$B$1:$AY$1,0))</f>
        <v>11.781547505783211</v>
      </c>
      <c r="O30" s="26">
        <f>INDEX(m!$B$2:$AY$51,MATCH(table!$L30,m!$A$2:$A$51,0),MATCH(table!O$4,m!$B$1:$AY$1,0))</f>
        <v>15.605194443430699</v>
      </c>
      <c r="P30" s="26">
        <f>INDEX(m!$B$2:$AY$51,MATCH(table!$L30,m!$A$2:$A$51,0),MATCH(table!P$4,m!$B$1:$AY$1,0))</f>
        <v>22.224751828275629</v>
      </c>
      <c r="Q30" s="26">
        <f>INDEX(m!$B$2:$AY$51,MATCH(table!$L30,m!$A$2:$A$51,0),MATCH(table!Q$4,m!$B$1:$AY$1,0))</f>
        <v>23.36140377270382</v>
      </c>
      <c r="R30" s="26">
        <f>INDEX(m!$B$2:$AY$51,MATCH(table!$L30,m!$A$2:$A$51,0),MATCH(table!R$4,m!$B$1:$AY$1,0))</f>
        <v>24.918375242589761</v>
      </c>
      <c r="S30" s="26">
        <f>INDEX(m!$B$2:$AY$51,MATCH(table!$L30,m!$A$2:$A$51,0),MATCH(table!S$4,m!$B$1:$AY$1,0))</f>
        <v>25.66161957951612</v>
      </c>
      <c r="T30" s="26"/>
    </row>
    <row r="31" spans="2:32" ht="15.6" x14ac:dyDescent="0.3">
      <c r="B31" s="16"/>
      <c r="C31" s="19" t="s">
        <v>100</v>
      </c>
      <c r="D31" s="17">
        <f>D30/D62*100</f>
        <v>24.341430046591643</v>
      </c>
      <c r="E31" s="17">
        <f t="shared" ref="E31:J31" si="29">E30/E62*100</f>
        <v>21.878454049736696</v>
      </c>
      <c r="F31" s="17">
        <f t="shared" si="29"/>
        <v>22.153881946948751</v>
      </c>
      <c r="G31" s="31">
        <f t="shared" si="29"/>
        <v>27.553622400540085</v>
      </c>
      <c r="H31" s="18">
        <f t="shared" si="29"/>
        <v>28.657574880177105</v>
      </c>
      <c r="I31" s="18">
        <f t="shared" si="29"/>
        <v>30.567521171019862</v>
      </c>
      <c r="J31" s="18">
        <f t="shared" si="29"/>
        <v>31.479263480984208</v>
      </c>
      <c r="L31" s="1" t="s">
        <v>48</v>
      </c>
      <c r="M31" s="26">
        <f>INDEX(m!$B$2:$AY$51,MATCH(table!$L31,m!$A$2:$A$51,0),MATCH(table!M$4,m!$B$1:$AY$1,0))</f>
        <v>2.4338364977413251E-5</v>
      </c>
      <c r="N31" s="26">
        <f>INDEX(m!$B$2:$AY$51,MATCH(table!$L31,m!$A$2:$A$51,0),MATCH(table!N$4,m!$B$1:$AY$1,0))</f>
        <v>2.18778266009827E-5</v>
      </c>
      <c r="O31" s="26">
        <f>INDEX(m!$B$2:$AY$51,MATCH(table!$L31,m!$A$2:$A$51,0),MATCH(table!O$4,m!$B$1:$AY$1,0))</f>
        <v>2.2153405195856519E-5</v>
      </c>
      <c r="P31" s="26">
        <f>INDEX(m!$B$2:$AY$51,MATCH(table!$L31,m!$A$2:$A$51,0),MATCH(table!P$4,m!$B$1:$AY$1,0))</f>
        <v>2.7552580212067149E-5</v>
      </c>
      <c r="Q31" s="26">
        <f>INDEX(m!$B$2:$AY$51,MATCH(table!$L31,m!$A$2:$A$51,0),MATCH(table!Q$4,m!$B$1:$AY$1,0))</f>
        <v>2.8657574880177089E-5</v>
      </c>
      <c r="R31" s="26">
        <f>INDEX(m!$B$2:$AY$51,MATCH(table!$L31,m!$A$2:$A$51,0),MATCH(table!R$4,m!$B$1:$AY$1,0))</f>
        <v>2.9693032790509401E-5</v>
      </c>
      <c r="S31" s="26">
        <f>INDEX(m!$B$2:$AY$51,MATCH(table!$L31,m!$A$2:$A$51,0),MATCH(table!S$4,m!$B$1:$AY$1,0))</f>
        <v>3.0063412011427661E-5</v>
      </c>
      <c r="T31" s="26"/>
      <c r="U31">
        <v>28.33062902364145</v>
      </c>
    </row>
    <row r="32" spans="2:32" ht="15.6" x14ac:dyDescent="0.3">
      <c r="B32" s="7" t="s">
        <v>90</v>
      </c>
      <c r="C32" s="10" t="s">
        <v>93</v>
      </c>
      <c r="D32" s="8">
        <f>M32</f>
        <v>23.628687134396841</v>
      </c>
      <c r="E32" s="8">
        <f>N32</f>
        <v>2.9359899709161961</v>
      </c>
      <c r="F32" s="8">
        <f>O32</f>
        <v>13.03996347212877</v>
      </c>
      <c r="G32" s="30">
        <f>P32</f>
        <v>20.052925989870658</v>
      </c>
      <c r="H32" s="9">
        <f>Q32</f>
        <v>24.624443249051321</v>
      </c>
      <c r="I32" s="9">
        <f>R32</f>
        <v>25.506298402022999</v>
      </c>
      <c r="J32" s="9">
        <f>S32</f>
        <v>23.893050336997501</v>
      </c>
      <c r="L32" s="1" t="s">
        <v>49</v>
      </c>
      <c r="M32" s="26">
        <f>INDEX(m!$B$2:$AY$51,MATCH(table!$L32,m!$A$2:$A$51,0),MATCH(table!M$4,m!$B$1:$AY$1,0))</f>
        <v>23.628687134396841</v>
      </c>
      <c r="N32" s="26">
        <f>INDEX(m!$B$2:$AY$51,MATCH(table!$L32,m!$A$2:$A$51,0),MATCH(table!N$4,m!$B$1:$AY$1,0))</f>
        <v>2.9359899709161961</v>
      </c>
      <c r="O32" s="26">
        <f>INDEX(m!$B$2:$AY$51,MATCH(table!$L32,m!$A$2:$A$51,0),MATCH(table!O$4,m!$B$1:$AY$1,0))</f>
        <v>13.03996347212877</v>
      </c>
      <c r="P32" s="26">
        <f>INDEX(m!$B$2:$AY$51,MATCH(table!$L32,m!$A$2:$A$51,0),MATCH(table!P$4,m!$B$1:$AY$1,0))</f>
        <v>20.052925989870658</v>
      </c>
      <c r="Q32" s="26">
        <f>INDEX(m!$B$2:$AY$51,MATCH(table!$L32,m!$A$2:$A$51,0),MATCH(table!Q$4,m!$B$1:$AY$1,0))</f>
        <v>24.624443249051321</v>
      </c>
      <c r="R32" s="26">
        <f>INDEX(m!$B$2:$AY$51,MATCH(table!$L32,m!$A$2:$A$51,0),MATCH(table!R$4,m!$B$1:$AY$1,0))</f>
        <v>25.506298402022999</v>
      </c>
      <c r="S32" s="26">
        <f>INDEX(m!$B$2:$AY$51,MATCH(table!$L32,m!$A$2:$A$51,0),MATCH(table!S$4,m!$B$1:$AY$1,0))</f>
        <v>23.893050336997501</v>
      </c>
      <c r="T32" s="26"/>
      <c r="U32">
        <v>24.624443249051311</v>
      </c>
      <c r="V32">
        <v>25.50629840202301</v>
      </c>
      <c r="W32">
        <v>25.175621439966189</v>
      </c>
      <c r="AD32" s="35">
        <f>H31*$AD$25/100</f>
        <v>23.36140377270382</v>
      </c>
    </row>
    <row r="33" spans="2:32" ht="15.6" x14ac:dyDescent="0.3">
      <c r="B33" s="7"/>
      <c r="C33" s="19" t="s">
        <v>171</v>
      </c>
      <c r="D33" s="8"/>
      <c r="E33" s="8"/>
      <c r="F33" s="8"/>
      <c r="G33" s="30"/>
      <c r="H33" s="9">
        <f>Q33</f>
        <v>17.43769171391083</v>
      </c>
      <c r="I33" s="9">
        <f>R33</f>
        <v>60.640283595257358</v>
      </c>
      <c r="J33" s="9">
        <f>S33</f>
        <v>0.46769691459315688</v>
      </c>
      <c r="L33" s="1" t="s">
        <v>50</v>
      </c>
      <c r="M33" s="26">
        <f>INDEX(m!$B$2:$AY$51,MATCH(table!$L33,m!$A$2:$A$51,0),MATCH(table!M$4,m!$B$1:$AY$1,0))</f>
        <v>19.91170544788708</v>
      </c>
      <c r="N33" s="26">
        <f>INDEX(m!$B$2:$AY$51,MATCH(table!$L33,m!$A$2:$A$51,0),MATCH(table!N$4,m!$B$1:$AY$1,0))</f>
        <v>-26.585109401198679</v>
      </c>
      <c r="O33" s="26">
        <f>INDEX(m!$B$2:$AY$51,MATCH(table!$L33,m!$A$2:$A$51,0),MATCH(table!O$4,m!$B$1:$AY$1,0))</f>
        <v>20.451713478163398</v>
      </c>
      <c r="P33" s="26">
        <f>INDEX(m!$B$2:$AY$51,MATCH(table!$L33,m!$A$2:$A$51,0),MATCH(table!P$4,m!$B$1:$AY$1,0))</f>
        <v>11.87539239923418</v>
      </c>
      <c r="Q33" s="26">
        <f>INDEX(m!$B$2:$AY$51,MATCH(table!$L33,m!$A$2:$A$51,0),MATCH(table!Q$4,m!$B$1:$AY$1,0))</f>
        <v>17.43769171391083</v>
      </c>
      <c r="R33" s="26">
        <f>INDEX(m!$B$2:$AY$51,MATCH(table!$L33,m!$A$2:$A$51,0),MATCH(table!R$4,m!$B$1:$AY$1,0))</f>
        <v>60.640283595257358</v>
      </c>
      <c r="S33" s="26">
        <f>INDEX(m!$B$2:$AY$51,MATCH(table!$L33,m!$A$2:$A$51,0),MATCH(table!S$4,m!$B$1:$AY$1,0))</f>
        <v>0.46769691459315688</v>
      </c>
      <c r="T33" s="26"/>
      <c r="U33">
        <v>4.3594229284777084</v>
      </c>
      <c r="V33">
        <v>15.16007089881434</v>
      </c>
      <c r="W33">
        <v>10.163290195487351</v>
      </c>
    </row>
    <row r="34" spans="2:32" ht="14.4" customHeight="1" x14ac:dyDescent="0.3">
      <c r="B34" s="7"/>
      <c r="C34" s="10" t="s">
        <v>99</v>
      </c>
      <c r="D34" s="8">
        <f>M34</f>
        <v>9.8537415227414336</v>
      </c>
      <c r="E34" s="8">
        <f t="shared" ref="E34" si="30">N34</f>
        <v>10.14304638560913</v>
      </c>
      <c r="F34" s="8">
        <f t="shared" ref="F34" si="31">O34</f>
        <v>11.465695929253631</v>
      </c>
      <c r="G34" s="30">
        <f t="shared" ref="G34" si="32">P34</f>
        <v>13.764903448170481</v>
      </c>
      <c r="H34" s="9">
        <f t="shared" ref="H34" si="33">Q34</f>
        <v>14.36497380517284</v>
      </c>
      <c r="I34" s="9">
        <f t="shared" ref="I34" si="34">R34</f>
        <v>16.542714018633148</v>
      </c>
      <c r="J34" s="9">
        <f t="shared" ref="J34" si="35">S34</f>
        <v>16.562056459396931</v>
      </c>
      <c r="L34" s="1" t="s">
        <v>170</v>
      </c>
      <c r="M34" s="26">
        <f>INDEX(m!$B$2:$AY$51,MATCH(table!$L34,m!$A$2:$A$51,0),MATCH(table!M$4,m!$B$1:$AY$1,0))</f>
        <v>9.8537415227414336</v>
      </c>
      <c r="N34" s="26">
        <f>INDEX(m!$B$2:$AY$51,MATCH(table!$L34,m!$A$2:$A$51,0),MATCH(table!N$4,m!$B$1:$AY$1,0))</f>
        <v>10.14304638560913</v>
      </c>
      <c r="O34" s="26">
        <f>INDEX(m!$B$2:$AY$51,MATCH(table!$L34,m!$A$2:$A$51,0),MATCH(table!O$4,m!$B$1:$AY$1,0))</f>
        <v>11.465695929253631</v>
      </c>
      <c r="P34" s="26">
        <f>INDEX(m!$B$2:$AY$51,MATCH(table!$L34,m!$A$2:$A$51,0),MATCH(table!P$4,m!$B$1:$AY$1,0))</f>
        <v>13.764903448170481</v>
      </c>
      <c r="Q34" s="26">
        <f>INDEX(m!$B$2:$AY$51,MATCH(table!$L34,m!$A$2:$A$51,0),MATCH(table!Q$4,m!$B$1:$AY$1,0))</f>
        <v>14.36497380517284</v>
      </c>
      <c r="R34" s="26">
        <f>INDEX(m!$B$2:$AY$51,MATCH(table!$L34,m!$A$2:$A$51,0),MATCH(table!R$4,m!$B$1:$AY$1,0))</f>
        <v>16.542714018633148</v>
      </c>
      <c r="S34" s="26">
        <f>INDEX(m!$B$2:$AY$51,MATCH(table!$L34,m!$A$2:$A$51,0),MATCH(table!S$4,m!$B$1:$AY$1,0))</f>
        <v>16.562056459396931</v>
      </c>
      <c r="T34" s="26"/>
    </row>
    <row r="35" spans="2:32" ht="15.6" x14ac:dyDescent="0.3">
      <c r="B35" s="16"/>
      <c r="C35" s="19" t="s">
        <v>100</v>
      </c>
      <c r="D35" s="17">
        <f>D34/D62*100</f>
        <v>22.626272153252433</v>
      </c>
      <c r="E35" s="17">
        <f t="shared" ref="E35:J35" si="36">E34/E62*100</f>
        <v>18.835740734650194</v>
      </c>
      <c r="F35" s="17">
        <f t="shared" si="36"/>
        <v>16.277251461177784</v>
      </c>
      <c r="G35" s="31">
        <f t="shared" si="36"/>
        <v>17.065340253124823</v>
      </c>
      <c r="H35" s="9">
        <f t="shared" si="36"/>
        <v>17.621599989403276</v>
      </c>
      <c r="I35" s="9">
        <f t="shared" si="36"/>
        <v>20.29304704130227</v>
      </c>
      <c r="J35" s="18">
        <f t="shared" si="36"/>
        <v>20.316774530024549</v>
      </c>
      <c r="L35" s="1" t="s">
        <v>52</v>
      </c>
      <c r="M35" s="26">
        <f>INDEX(m!$B$2:$AY$51,MATCH(table!$L35,m!$A$2:$A$51,0),MATCH(table!M$4,m!$B$1:$AY$1,0))</f>
        <v>2.262342305649575E-5</v>
      </c>
      <c r="N35" s="26">
        <f>INDEX(m!$B$2:$AY$51,MATCH(table!$L35,m!$A$2:$A$51,0),MATCH(table!N$4,m!$B$1:$AY$1,0))</f>
        <v>1.883520054739438E-5</v>
      </c>
      <c r="O35" s="26">
        <f>INDEX(m!$B$2:$AY$51,MATCH(table!$L35,m!$A$2:$A$51,0),MATCH(table!O$4,m!$B$1:$AY$1,0))</f>
        <v>1.627690117505497E-5</v>
      </c>
      <c r="P35" s="26">
        <f>INDEX(m!$B$2:$AY$51,MATCH(table!$L35,m!$A$2:$A$51,0),MATCH(table!P$4,m!$B$1:$AY$1,0))</f>
        <v>1.7064694773534509E-5</v>
      </c>
      <c r="Q35" s="26">
        <f>INDEX(m!$B$2:$AY$51,MATCH(table!$L35,m!$A$2:$A$51,0),MATCH(table!Q$4,m!$B$1:$AY$1,0))</f>
        <v>1.762159998940327E-5</v>
      </c>
      <c r="R35" s="26">
        <f>INDEX(m!$B$2:$AY$51,MATCH(table!$L35,m!$A$2:$A$51,0),MATCH(table!R$4,m!$B$1:$AY$1,0))</f>
        <v>1.971249509718208E-5</v>
      </c>
      <c r="S35" s="26">
        <f>INDEX(m!$B$2:$AY$51,MATCH(table!$L35,m!$A$2:$A$51,0),MATCH(table!S$4,m!$B$1:$AY$1,0))</f>
        <v>1.9402981388315219E-5</v>
      </c>
      <c r="T35" s="26"/>
      <c r="U35">
        <v>17.420560329691909</v>
      </c>
      <c r="AD35" s="35" t="e">
        <f>#REF!*$AD$25/100</f>
        <v>#REF!</v>
      </c>
      <c r="AE35" t="e">
        <f>AD35*(1+I33/100)</f>
        <v>#REF!</v>
      </c>
      <c r="AF35" t="e">
        <f>AE35*(1+#REF!/100)</f>
        <v>#REF!</v>
      </c>
    </row>
    <row r="36" spans="2:32" ht="15.6" x14ac:dyDescent="0.3">
      <c r="B36" s="16" t="s">
        <v>173</v>
      </c>
      <c r="C36" s="19" t="s">
        <v>93</v>
      </c>
      <c r="D36" s="17">
        <f>M36</f>
        <v>1.636769475889529</v>
      </c>
      <c r="E36" s="17">
        <f>N36</f>
        <v>5.0327097296992314</v>
      </c>
      <c r="F36" s="17">
        <f>O36</f>
        <v>7.4221129488150934</v>
      </c>
      <c r="G36" s="31">
        <f t="shared" ref="G36:I42" si="37">P36</f>
        <v>5.1220452079246659</v>
      </c>
      <c r="H36" s="28">
        <f>Q36</f>
        <v>2.642053784177345</v>
      </c>
      <c r="I36" s="28">
        <f t="shared" ref="I36:J38" si="38">R36</f>
        <v>5.6194992525172003</v>
      </c>
      <c r="J36" s="28">
        <f t="shared" si="38"/>
        <v>5.9409693169900804</v>
      </c>
      <c r="L36" s="1"/>
      <c r="M36" s="38">
        <f>INDEX(q!$B$2:$S$5,MATCH("gdp_q4",q!$A$2:$A$5,0),MATCH(M3,q!$B$1:$S$1,0))</f>
        <v>1.636769475889529</v>
      </c>
      <c r="N36" s="38">
        <f>INDEX(q!$B$2:$S$5,MATCH("gdp_q4",q!$A$2:$A$5,0),MATCH(N3,q!$B$1:$S$1,0))</f>
        <v>5.0327097296992314</v>
      </c>
      <c r="O36" s="38">
        <f>INDEX(q!$B$2:$S$5,MATCH("gdp_q4",q!$A$2:$A$5,0),MATCH(O3,q!$B$1:$S$1,0))</f>
        <v>7.4221129488150934</v>
      </c>
      <c r="P36" s="38">
        <f>INDEX(q!$B$2:$S$5,MATCH("gdp_q4",q!$A$2:$A$5,0),MATCH(P3,q!$B$1:$S$1,0))</f>
        <v>5.1220452079246659</v>
      </c>
      <c r="Q36" s="38">
        <f>INDEX(q!$B$2:$S$5,MATCH("gdp_q1",q!$A$2:$A$5,0),MATCH(Q3,q!$B$1:$S$1,0))</f>
        <v>2.642053784177345</v>
      </c>
      <c r="R36" s="38">
        <f>INDEX(q!$B$2:$S$5,MATCH("gdp_q2",q!$A$2:$A$5,0),MATCH(R3,q!$B$1:$S$1,0))</f>
        <v>5.6194992525172003</v>
      </c>
      <c r="S36" s="38">
        <f>INDEX(q!$B$2:$S$5,MATCH("gdp_q3",q!$A$2:$A$5,0),MATCH(S3,q!$B$1:$S$1,0))</f>
        <v>5.9409693169900804</v>
      </c>
      <c r="T36" s="15"/>
      <c r="U36">
        <v>-16.17404375421351</v>
      </c>
      <c r="V36">
        <v>-6.1173513504038164</v>
      </c>
      <c r="W36">
        <v>-6.0692057800063308</v>
      </c>
      <c r="AD36" s="35">
        <f>H35*$AD$25/100</f>
        <v>14.36497380517284</v>
      </c>
      <c r="AE36" t="e">
        <f>AD36*(1+#REF!/100)</f>
        <v>#REF!</v>
      </c>
      <c r="AF36" t="e">
        <f>AE36*(1+#REF!/100)</f>
        <v>#REF!</v>
      </c>
    </row>
    <row r="37" spans="2:32" ht="15.6" x14ac:dyDescent="0.3">
      <c r="B37" s="7" t="s">
        <v>138</v>
      </c>
      <c r="C37" s="10" t="s">
        <v>93</v>
      </c>
      <c r="D37" s="8">
        <f>M37</f>
        <v>37.043533847682603</v>
      </c>
      <c r="E37" s="8">
        <f>N37</f>
        <v>30.430228623558659</v>
      </c>
      <c r="F37" s="8">
        <f>O37</f>
        <v>30.747672926007191</v>
      </c>
      <c r="G37" s="30">
        <f t="shared" si="37"/>
        <v>29.061960728097571</v>
      </c>
      <c r="H37" s="9">
        <f t="shared" si="37"/>
        <v>-16.17404375421351</v>
      </c>
      <c r="I37" s="9">
        <f t="shared" si="38"/>
        <v>-6.1173513504038164</v>
      </c>
      <c r="J37" s="9">
        <f t="shared" si="38"/>
        <v>-2.261732903910068</v>
      </c>
      <c r="L37" s="1" t="s">
        <v>53</v>
      </c>
      <c r="M37" s="26">
        <f>INDEX(m!$B$2:$AY$51,MATCH(table!$L37,m!$A$2:$A$51,0),MATCH(table!M$4,m!$B$1:$AY$1,0))</f>
        <v>37.043533847682603</v>
      </c>
      <c r="N37" s="26">
        <f>INDEX(m!$B$2:$AY$51,MATCH(table!$L37,m!$A$2:$A$51,0),MATCH(table!N$4,m!$B$1:$AY$1,0))</f>
        <v>30.430228623558659</v>
      </c>
      <c r="O37" s="26">
        <f>INDEX(m!$B$2:$AY$51,MATCH(table!$L37,m!$A$2:$A$51,0),MATCH(table!O$4,m!$B$1:$AY$1,0))</f>
        <v>30.747672926007191</v>
      </c>
      <c r="P37" s="26">
        <f>INDEX(m!$B$2:$AY$51,MATCH(table!$L37,m!$A$2:$A$51,0),MATCH(table!P$4,m!$B$1:$AY$1,0))</f>
        <v>29.061960728097571</v>
      </c>
      <c r="Q37" s="26">
        <f>INDEX(m!$B$2:$AY$51,MATCH(table!$L37,m!$A$2:$A$51,0),MATCH(table!Q$4,m!$B$1:$AY$1,0))</f>
        <v>-16.17404375421351</v>
      </c>
      <c r="R37" s="26">
        <f>INDEX(m!$B$2:$AY$51,MATCH(table!$L37,m!$A$2:$A$51,0),MATCH(table!R$4,m!$B$1:$AY$1,0))</f>
        <v>-6.1173513504038164</v>
      </c>
      <c r="S37" s="26">
        <f>INDEX(m!$B$2:$AY$51,MATCH(table!$L37,m!$A$2:$A$51,0),MATCH(table!S$4,m!$B$1:$AY$1,0))</f>
        <v>-2.261732903910068</v>
      </c>
      <c r="T37" s="26"/>
      <c r="U37">
        <v>6.4322552338289309</v>
      </c>
      <c r="V37">
        <v>14.03279215232495</v>
      </c>
      <c r="W37">
        <v>16.578317410023949</v>
      </c>
      <c r="AE37" t="e">
        <f>AE36/$AD$25*100</f>
        <v>#REF!</v>
      </c>
      <c r="AF37" t="e">
        <f>AF36/$AD$25*100</f>
        <v>#REF!</v>
      </c>
    </row>
    <row r="38" spans="2:32" ht="15.6" x14ac:dyDescent="0.3">
      <c r="B38" s="7"/>
      <c r="C38" s="10" t="s">
        <v>149</v>
      </c>
      <c r="D38" s="8">
        <f>M38</f>
        <v>14.25523492231437</v>
      </c>
      <c r="E38" s="8">
        <f>N38</f>
        <v>18.593135499999999</v>
      </c>
      <c r="F38" s="8">
        <f>O38</f>
        <v>24.310091990229331</v>
      </c>
      <c r="G38" s="30">
        <f t="shared" si="37"/>
        <v>31.375081377394171</v>
      </c>
      <c r="H38" s="9">
        <f t="shared" si="37"/>
        <v>6.4322552338289309</v>
      </c>
      <c r="I38" s="9">
        <f t="shared" si="38"/>
        <v>14.03279215232495</v>
      </c>
      <c r="J38" s="9">
        <f t="shared" si="38"/>
        <v>22.244011553627679</v>
      </c>
      <c r="L38" s="1" t="s">
        <v>54</v>
      </c>
      <c r="M38" s="26">
        <f>INDEX(m!$B$2:$AY$51,MATCH(table!$L38,m!$A$2:$A$51,0),MATCH(table!M$4,m!$B$1:$AY$1,0))</f>
        <v>14.25523492231437</v>
      </c>
      <c r="N38" s="26">
        <f>INDEX(m!$B$2:$AY$51,MATCH(table!$L38,m!$A$2:$A$51,0),MATCH(table!N$4,m!$B$1:$AY$1,0))</f>
        <v>18.593135499999999</v>
      </c>
      <c r="O38" s="26">
        <f>INDEX(m!$B$2:$AY$51,MATCH(table!$L38,m!$A$2:$A$51,0),MATCH(table!O$4,m!$B$1:$AY$1,0))</f>
        <v>24.310091990229331</v>
      </c>
      <c r="P38" s="26">
        <f>INDEX(m!$B$2:$AY$51,MATCH(table!$L38,m!$A$2:$A$51,0),MATCH(table!P$4,m!$B$1:$AY$1,0))</f>
        <v>31.375081377394171</v>
      </c>
      <c r="Q38" s="26">
        <f>INDEX(m!$B$2:$AY$51,MATCH(table!$L38,m!$A$2:$A$51,0),MATCH(table!Q$4,m!$B$1:$AY$1,0))</f>
        <v>6.4322552338289309</v>
      </c>
      <c r="R38" s="26">
        <f>INDEX(m!$B$2:$AY$51,MATCH(table!$L38,m!$A$2:$A$51,0),MATCH(table!R$4,m!$B$1:$AY$1,0))</f>
        <v>14.03279215232495</v>
      </c>
      <c r="S38" s="26">
        <f>INDEX(m!$B$2:$AY$51,MATCH(table!$L38,m!$A$2:$A$51,0),MATCH(table!S$4,m!$B$1:$AY$1,0))</f>
        <v>22.244011553627679</v>
      </c>
      <c r="T38" s="26"/>
      <c r="U38">
        <v>7.8004660416813856</v>
      </c>
    </row>
    <row r="39" spans="2:32" ht="15.6" x14ac:dyDescent="0.3">
      <c r="B39" s="16"/>
      <c r="C39" s="19" t="s">
        <v>100</v>
      </c>
      <c r="D39" s="17">
        <f>M39</f>
        <v>32.728909082194598</v>
      </c>
      <c r="E39" s="17">
        <f>N39</f>
        <v>34.526652312686501</v>
      </c>
      <c r="F39" s="17">
        <f>O39</f>
        <v>34.511029014112019</v>
      </c>
      <c r="G39" s="31">
        <f t="shared" si="37"/>
        <v>38.896472410142501</v>
      </c>
      <c r="H39" s="18">
        <f t="shared" si="37"/>
        <v>7.890486282645556</v>
      </c>
      <c r="I39" s="18">
        <f t="shared" si="37"/>
        <v>16.721642300707359</v>
      </c>
      <c r="J39" s="18">
        <f>J38/J62*100</f>
        <v>27.286863107020864</v>
      </c>
      <c r="L39" s="1" t="s">
        <v>55</v>
      </c>
      <c r="M39" s="26">
        <f>INDEX(m!$B$2:$AY$51,MATCH(table!$L39,m!$A$2:$A$51,0),MATCH(table!M$4,m!$B$1:$AY$1,0))</f>
        <v>32.728909082194598</v>
      </c>
      <c r="N39" s="26">
        <f>INDEX(m!$B$2:$AY$51,MATCH(table!$L39,m!$A$2:$A$51,0),MATCH(table!N$4,m!$B$1:$AY$1,0))</f>
        <v>34.526652312686501</v>
      </c>
      <c r="O39" s="26">
        <f>INDEX(m!$B$2:$AY$51,MATCH(table!$L39,m!$A$2:$A$51,0),MATCH(table!O$4,m!$B$1:$AY$1,0))</f>
        <v>34.511029014112019</v>
      </c>
      <c r="P39" s="26">
        <f>INDEX(m!$B$2:$AY$51,MATCH(table!$L39,m!$A$2:$A$51,0),MATCH(table!P$4,m!$B$1:$AY$1,0))</f>
        <v>38.896472410142501</v>
      </c>
      <c r="Q39" s="26">
        <f>INDEX(m!$B$2:$AY$51,MATCH(table!$L39,m!$A$2:$A$51,0),MATCH(table!Q$4,m!$B$1:$AY$1,0))</f>
        <v>7.890486282645556</v>
      </c>
      <c r="R39" s="26">
        <f>INDEX(m!$B$2:$AY$51,MATCH(table!$L39,m!$A$2:$A$51,0),MATCH(table!R$4,m!$B$1:$AY$1,0))</f>
        <v>16.721642300707359</v>
      </c>
      <c r="S39" s="26">
        <f>INDEX(m!$B$2:$AY$51,MATCH(table!$L39,m!$A$2:$A$51,0),MATCH(table!S$4,m!$B$1:$AY$1,0))</f>
        <v>26.059574379220681</v>
      </c>
      <c r="T39" s="26"/>
      <c r="U39">
        <v>14.1752286846001</v>
      </c>
      <c r="V39">
        <v>8.2264630704328976</v>
      </c>
      <c r="W39">
        <v>10.653317610205001</v>
      </c>
    </row>
    <row r="40" spans="2:32" ht="15.6" x14ac:dyDescent="0.3">
      <c r="B40" s="7" t="s">
        <v>139</v>
      </c>
      <c r="C40" s="10" t="s">
        <v>93</v>
      </c>
      <c r="D40" s="8">
        <f>M40</f>
        <v>11.728151918840631</v>
      </c>
      <c r="E40" s="8">
        <f>N40</f>
        <v>16.53833950569874</v>
      </c>
      <c r="F40" s="8">
        <f>O40</f>
        <v>23.52699747356041</v>
      </c>
      <c r="G40" s="30">
        <f t="shared" si="37"/>
        <v>35.231170237768438</v>
      </c>
      <c r="H40" s="9">
        <f t="shared" si="37"/>
        <v>14.1752286846001</v>
      </c>
      <c r="I40" s="9">
        <f>R40</f>
        <v>8.2264630704328976</v>
      </c>
      <c r="J40" s="9">
        <f>S40</f>
        <v>11.28382118830339</v>
      </c>
      <c r="L40" s="1" t="s">
        <v>56</v>
      </c>
      <c r="M40" s="26">
        <f>INDEX(m!$B$2:$AY$51,MATCH(table!$L40,m!$A$2:$A$51,0),MATCH(table!M$4,m!$B$1:$AY$1,0))</f>
        <v>11.728151918840631</v>
      </c>
      <c r="N40" s="26">
        <f>INDEX(m!$B$2:$AY$51,MATCH(table!$L40,m!$A$2:$A$51,0),MATCH(table!N$4,m!$B$1:$AY$1,0))</f>
        <v>16.53833950569874</v>
      </c>
      <c r="O40" s="26">
        <f>INDEX(m!$B$2:$AY$51,MATCH(table!$L40,m!$A$2:$A$51,0),MATCH(table!O$4,m!$B$1:$AY$1,0))</f>
        <v>23.52699747356041</v>
      </c>
      <c r="P40" s="26">
        <f>INDEX(m!$B$2:$AY$51,MATCH(table!$L40,m!$A$2:$A$51,0),MATCH(table!P$4,m!$B$1:$AY$1,0))</f>
        <v>35.231170237768438</v>
      </c>
      <c r="Q40" s="26">
        <f>INDEX(m!$B$2:$AY$51,MATCH(table!$L40,m!$A$2:$A$51,0),MATCH(table!Q$4,m!$B$1:$AY$1,0))</f>
        <v>14.1752286846001</v>
      </c>
      <c r="R40" s="26">
        <f>INDEX(m!$B$2:$AY$51,MATCH(table!$L40,m!$A$2:$A$51,0),MATCH(table!R$4,m!$B$1:$AY$1,0))</f>
        <v>8.2264630704328976</v>
      </c>
      <c r="S40" s="26">
        <f>INDEX(m!$B$2:$AY$51,MATCH(table!$L40,m!$A$2:$A$51,0),MATCH(table!S$4,m!$B$1:$AY$1,0))</f>
        <v>11.28382118830339</v>
      </c>
      <c r="T40" s="26"/>
      <c r="U40">
        <v>6.5026678671519198</v>
      </c>
      <c r="V40">
        <v>13.973440625050101</v>
      </c>
      <c r="W40">
        <v>16.88757054832196</v>
      </c>
    </row>
    <row r="41" spans="2:32" ht="15.6" x14ac:dyDescent="0.3">
      <c r="B41" s="7"/>
      <c r="C41" s="10" t="s">
        <v>149</v>
      </c>
      <c r="D41" s="8">
        <f>M41</f>
        <v>15.598129831866281</v>
      </c>
      <c r="E41" s="8">
        <f>N41</f>
        <v>18.177801500000001</v>
      </c>
      <c r="F41" s="8">
        <f>O41</f>
        <v>22.45449239965383</v>
      </c>
      <c r="G41" s="30">
        <f t="shared" si="37"/>
        <v>30.365472843002639</v>
      </c>
      <c r="H41" s="9">
        <f t="shared" si="37"/>
        <v>6.5026678671519198</v>
      </c>
      <c r="I41" s="9">
        <f>R41</f>
        <v>13.973440625050101</v>
      </c>
      <c r="J41" s="9">
        <f>S41</f>
        <v>22.058169207093702</v>
      </c>
      <c r="L41" s="1" t="s">
        <v>57</v>
      </c>
      <c r="M41" s="26">
        <f>INDEX(m!$B$2:$AY$51,MATCH(table!$L41,m!$A$2:$A$51,0),MATCH(table!M$4,m!$B$1:$AY$1,0))</f>
        <v>15.598129831866281</v>
      </c>
      <c r="N41" s="26">
        <f>INDEX(m!$B$2:$AY$51,MATCH(table!$L41,m!$A$2:$A$51,0),MATCH(table!N$4,m!$B$1:$AY$1,0))</f>
        <v>18.177801500000001</v>
      </c>
      <c r="O41" s="26">
        <f>INDEX(m!$B$2:$AY$51,MATCH(table!$L41,m!$A$2:$A$51,0),MATCH(table!O$4,m!$B$1:$AY$1,0))</f>
        <v>22.45449239965383</v>
      </c>
      <c r="P41" s="26">
        <f>INDEX(m!$B$2:$AY$51,MATCH(table!$L41,m!$A$2:$A$51,0),MATCH(table!P$4,m!$B$1:$AY$1,0))</f>
        <v>30.365472843002639</v>
      </c>
      <c r="Q41" s="26">
        <f>INDEX(m!$B$2:$AY$51,MATCH(table!$L41,m!$A$2:$A$51,0),MATCH(table!Q$4,m!$B$1:$AY$1,0))</f>
        <v>6.5026678671519198</v>
      </c>
      <c r="R41" s="26">
        <f>INDEX(m!$B$2:$AY$51,MATCH(table!$L41,m!$A$2:$A$51,0),MATCH(table!R$4,m!$B$1:$AY$1,0))</f>
        <v>13.973440625050101</v>
      </c>
      <c r="S41" s="26">
        <f>INDEX(m!$B$2:$AY$51,MATCH(table!$L41,m!$A$2:$A$51,0),MATCH(table!S$4,m!$B$1:$AY$1,0))</f>
        <v>22.058169207093702</v>
      </c>
      <c r="T41" s="26"/>
      <c r="U41">
        <v>7.8858562096978364</v>
      </c>
    </row>
    <row r="42" spans="2:32" ht="15.6" x14ac:dyDescent="0.3">
      <c r="B42" s="16"/>
      <c r="C42" s="19" t="s">
        <v>100</v>
      </c>
      <c r="D42" s="17">
        <f>M42</f>
        <v>35.812091200285643</v>
      </c>
      <c r="E42" s="17">
        <f>N42</f>
        <v>33.755394952052661</v>
      </c>
      <c r="F42" s="17">
        <f>O42</f>
        <v>31.87678759146895</v>
      </c>
      <c r="G42" s="31">
        <f t="shared" si="37"/>
        <v>37.644835481120893</v>
      </c>
      <c r="H42" s="18">
        <f t="shared" si="37"/>
        <v>7.976861884539896</v>
      </c>
      <c r="I42" s="18">
        <f t="shared" si="37"/>
        <v>16.65091831375468</v>
      </c>
      <c r="J42" s="18">
        <f>J41/J62*100</f>
        <v>27.058889179874924</v>
      </c>
      <c r="L42" s="1" t="s">
        <v>58</v>
      </c>
      <c r="M42" s="26">
        <f>INDEX(m!$B$2:$AY$51,MATCH(table!$L42,m!$A$2:$A$51,0),MATCH(table!M$4,m!$B$1:$AY$1,0))</f>
        <v>35.812091200285643</v>
      </c>
      <c r="N42" s="26">
        <f>INDEX(m!$B$2:$AY$51,MATCH(table!$L42,m!$A$2:$A$51,0),MATCH(table!N$4,m!$B$1:$AY$1,0))</f>
        <v>33.755394952052661</v>
      </c>
      <c r="O42" s="26">
        <f>INDEX(m!$B$2:$AY$51,MATCH(table!$L42,m!$A$2:$A$51,0),MATCH(table!O$4,m!$B$1:$AY$1,0))</f>
        <v>31.87678759146895</v>
      </c>
      <c r="P42" s="26">
        <f>INDEX(m!$B$2:$AY$51,MATCH(table!$L42,m!$A$2:$A$51,0),MATCH(table!P$4,m!$B$1:$AY$1,0))</f>
        <v>37.644835481120893</v>
      </c>
      <c r="Q42" s="26">
        <f>INDEX(m!$B$2:$AY$51,MATCH(table!$L42,m!$A$2:$A$51,0),MATCH(table!Q$4,m!$B$1:$AY$1,0))</f>
        <v>7.976861884539896</v>
      </c>
      <c r="R42" s="26">
        <f>INDEX(m!$B$2:$AY$51,MATCH(table!$L42,m!$A$2:$A$51,0),MATCH(table!R$4,m!$B$1:$AY$1,0))</f>
        <v>16.65091831375468</v>
      </c>
      <c r="S42" s="26">
        <f>INDEX(m!$B$2:$AY$51,MATCH(table!$L42,m!$A$2:$A$51,0),MATCH(table!S$4,m!$B$1:$AY$1,0))</f>
        <v>25.84185409793799</v>
      </c>
      <c r="T42" s="26"/>
      <c r="U42">
        <v>-17.651839540809672</v>
      </c>
      <c r="V42">
        <v>-16.545440776305451</v>
      </c>
      <c r="W42">
        <v>-16.342916169506001</v>
      </c>
    </row>
    <row r="43" spans="2:32" ht="15.6" x14ac:dyDescent="0.3">
      <c r="B43" s="7" t="s">
        <v>146</v>
      </c>
      <c r="C43" s="10" t="s">
        <v>149</v>
      </c>
      <c r="D43" s="8">
        <f>D38-D41</f>
        <v>-1.3428949095519105</v>
      </c>
      <c r="E43" s="8">
        <f t="shared" ref="E43:I43" si="39">E38-E41</f>
        <v>0.41533399999999787</v>
      </c>
      <c r="F43" s="8">
        <f t="shared" si="39"/>
        <v>1.8555995905755012</v>
      </c>
      <c r="G43" s="30">
        <f t="shared" si="39"/>
        <v>1.009608534391532</v>
      </c>
      <c r="H43" s="9">
        <f t="shared" si="39"/>
        <v>-7.041263332298886E-2</v>
      </c>
      <c r="I43" s="9">
        <f t="shared" si="39"/>
        <v>5.9351527274849047E-2</v>
      </c>
      <c r="J43" s="9">
        <f t="shared" ref="J43" si="40">J38-J41</f>
        <v>0.18584234653397758</v>
      </c>
      <c r="L43" s="1"/>
      <c r="M43" s="26"/>
      <c r="N43" s="26"/>
      <c r="O43" s="26"/>
      <c r="P43" s="26"/>
      <c r="Q43" s="26"/>
      <c r="U43">
        <v>3.0129999999999999</v>
      </c>
      <c r="V43">
        <v>6.5813934494990001</v>
      </c>
      <c r="W43">
        <v>7.7515400000000012</v>
      </c>
      <c r="AD43" s="35">
        <f>G42*$AD$25/100</f>
        <v>30.687739814292243</v>
      </c>
    </row>
    <row r="44" spans="2:32" ht="15.6" x14ac:dyDescent="0.3">
      <c r="B44" s="7"/>
      <c r="C44" s="10" t="s">
        <v>100</v>
      </c>
      <c r="D44" s="8">
        <f t="shared" ref="D44:I44" si="41">D39-D42</f>
        <v>-3.0831821180910453</v>
      </c>
      <c r="E44" s="8">
        <f t="shared" si="41"/>
        <v>0.77125736063383954</v>
      </c>
      <c r="F44" s="8">
        <f t="shared" si="41"/>
        <v>2.6342414226430684</v>
      </c>
      <c r="G44" s="30">
        <f t="shared" si="41"/>
        <v>1.2516369290216076</v>
      </c>
      <c r="H44" s="9">
        <f t="shared" si="41"/>
        <v>-8.6375601894340015E-2</v>
      </c>
      <c r="I44" s="9">
        <f t="shared" si="41"/>
        <v>7.0723986952678786E-2</v>
      </c>
      <c r="J44" s="9">
        <f t="shared" ref="J44" si="42">J39-J42</f>
        <v>0.22797392714593911</v>
      </c>
      <c r="L44" s="1"/>
      <c r="M44" s="26"/>
      <c r="N44" s="26"/>
      <c r="O44" s="26"/>
      <c r="P44" s="26"/>
      <c r="Q44" s="26"/>
      <c r="U44">
        <v>12.74337101357885</v>
      </c>
      <c r="AD44" s="35"/>
    </row>
    <row r="45" spans="2:32" ht="15.6" x14ac:dyDescent="0.3">
      <c r="B45" s="21" t="s">
        <v>91</v>
      </c>
      <c r="C45" s="22" t="s">
        <v>93</v>
      </c>
      <c r="D45" s="23">
        <f>M45</f>
        <v>22.052796135247569</v>
      </c>
      <c r="E45" s="23">
        <f>N45</f>
        <v>35.61407456313318</v>
      </c>
      <c r="F45" s="23">
        <f>O45</f>
        <v>21.084528044127971</v>
      </c>
      <c r="G45" s="32">
        <f t="shared" ref="G45:G53" si="43">P45</f>
        <v>3.9443729567022952</v>
      </c>
      <c r="H45" s="24">
        <f t="shared" ref="H45:I53" si="44">Q45</f>
        <v>-17.651839540809672</v>
      </c>
      <c r="I45" s="24">
        <f>R45</f>
        <v>-16.545440776305451</v>
      </c>
      <c r="J45" s="24">
        <f>S45</f>
        <v>-9.1155408025039755</v>
      </c>
      <c r="L45" s="1" t="s">
        <v>59</v>
      </c>
      <c r="M45" s="26">
        <f>INDEX(m!$B$2:$AY$51,MATCH(table!$L45,m!$A$2:$A$51,0),MATCH(table!M$4,m!$B$1:$AY$1,0))</f>
        <v>22.052796135247569</v>
      </c>
      <c r="N45" s="26">
        <f>INDEX(m!$B$2:$AY$51,MATCH(table!$L45,m!$A$2:$A$51,0),MATCH(table!N$4,m!$B$1:$AY$1,0))</f>
        <v>35.61407456313318</v>
      </c>
      <c r="O45" s="26">
        <f>INDEX(m!$B$2:$AY$51,MATCH(table!$L45,m!$A$2:$A$51,0),MATCH(table!O$4,m!$B$1:$AY$1,0))</f>
        <v>21.084528044127971</v>
      </c>
      <c r="P45" s="26">
        <f>INDEX(m!$B$2:$AY$51,MATCH(table!$L45,m!$A$2:$A$51,0),MATCH(table!P$4,m!$B$1:$AY$1,0))</f>
        <v>3.9443729567022952</v>
      </c>
      <c r="Q45" s="26">
        <f>INDEX(m!$B$2:$AY$51,MATCH(table!$L45,m!$A$2:$A$51,0),MATCH(table!Q$4,m!$B$1:$AY$1,0))</f>
        <v>-17.651839540809672</v>
      </c>
      <c r="R45" s="26">
        <f>INDEX(m!$B$2:$AY$51,MATCH(table!$L45,m!$A$2:$A$51,0),MATCH(table!R$4,m!$B$1:$AY$1,0))</f>
        <v>-16.545440776305451</v>
      </c>
      <c r="S45" s="26">
        <f>INDEX(m!$B$2:$AY$51,MATCH(table!$L45,m!$A$2:$A$51,0),MATCH(table!S$4,m!$B$1:$AY$1,0))</f>
        <v>-9.1155408025039755</v>
      </c>
      <c r="T45" s="26"/>
      <c r="U45">
        <v>17533.189999999999</v>
      </c>
      <c r="V45">
        <v>37875.07</v>
      </c>
      <c r="W45">
        <v>44412.65</v>
      </c>
      <c r="AD45" s="35"/>
    </row>
    <row r="46" spans="2:32" ht="15.6" x14ac:dyDescent="0.3">
      <c r="B46" s="7"/>
      <c r="C46" s="10" t="s">
        <v>150</v>
      </c>
      <c r="D46" s="8">
        <f>M46</f>
        <v>9.247109734503999</v>
      </c>
      <c r="E46" s="8">
        <f>N46</f>
        <v>12.540382290285001</v>
      </c>
      <c r="F46" s="8">
        <f>O46</f>
        <v>15.184462711121</v>
      </c>
      <c r="G46" s="30">
        <f t="shared" si="43"/>
        <v>15.783394551919001</v>
      </c>
      <c r="H46" s="9">
        <f t="shared" si="44"/>
        <v>3.0129999999999999</v>
      </c>
      <c r="I46" s="9">
        <f>R46</f>
        <v>6.5813934494990001</v>
      </c>
      <c r="J46" s="9">
        <f>S46</f>
        <v>10.708600549052001</v>
      </c>
      <c r="L46" s="1" t="s">
        <v>60</v>
      </c>
      <c r="M46" s="26">
        <f>INDEX(m!$B$2:$AY$51,MATCH(table!$L46,m!$A$2:$A$51,0),MATCH(table!M$4,m!$B$1:$AY$1,0))</f>
        <v>9.247109734503999</v>
      </c>
      <c r="N46" s="26">
        <f>INDEX(m!$B$2:$AY$51,MATCH(table!$L46,m!$A$2:$A$51,0),MATCH(table!N$4,m!$B$1:$AY$1,0))</f>
        <v>12.540382290285001</v>
      </c>
      <c r="O46" s="26">
        <f>INDEX(m!$B$2:$AY$51,MATCH(table!$L46,m!$A$2:$A$51,0),MATCH(table!O$4,m!$B$1:$AY$1,0))</f>
        <v>15.184462711121</v>
      </c>
      <c r="P46" s="26">
        <f>INDEX(m!$B$2:$AY$51,MATCH(table!$L46,m!$A$2:$A$51,0),MATCH(table!P$4,m!$B$1:$AY$1,0))</f>
        <v>15.783394551919001</v>
      </c>
      <c r="Q46" s="26">
        <f>INDEX(m!$B$2:$AY$51,MATCH(table!$L46,m!$A$2:$A$51,0),MATCH(table!Q$4,m!$B$1:$AY$1,0))</f>
        <v>3.0129999999999999</v>
      </c>
      <c r="R46" s="26">
        <f>INDEX(m!$B$2:$AY$51,MATCH(table!$L46,m!$A$2:$A$51,0),MATCH(table!R$4,m!$B$1:$AY$1,0))</f>
        <v>6.5813934494990001</v>
      </c>
      <c r="S46" s="26">
        <f>INDEX(m!$B$2:$AY$51,MATCH(table!$L46,m!$A$2:$A$51,0),MATCH(table!S$4,m!$B$1:$AY$1,0))</f>
        <v>10.708600549052001</v>
      </c>
      <c r="T46" s="26"/>
      <c r="U46">
        <v>1342184.92</v>
      </c>
      <c r="V46">
        <v>2652822.88</v>
      </c>
      <c r="W46">
        <v>3020492.52</v>
      </c>
    </row>
    <row r="47" spans="2:32" ht="15.6" x14ac:dyDescent="0.3">
      <c r="B47" s="16"/>
      <c r="C47" s="19" t="s">
        <v>100</v>
      </c>
      <c r="D47" s="17">
        <f>M47</f>
        <v>60.493322375765622</v>
      </c>
      <c r="E47" s="17">
        <f>N47</f>
        <v>80.214228428174309</v>
      </c>
      <c r="F47" s="17">
        <f>O47</f>
        <v>73.521267199465925</v>
      </c>
      <c r="G47" s="31">
        <f t="shared" si="43"/>
        <v>66.928375581847092</v>
      </c>
      <c r="H47" s="18">
        <f t="shared" si="44"/>
        <v>12.89043419201054</v>
      </c>
      <c r="I47" s="18">
        <f>R47</f>
        <v>28.08340319978274</v>
      </c>
      <c r="J47" s="18">
        <f>J46/J63*100</f>
        <v>45.81430821974206</v>
      </c>
      <c r="L47" s="1" t="s">
        <v>61</v>
      </c>
      <c r="M47" s="26">
        <f>INDEX(m!$B$2:$AY$51,MATCH(table!$L47,m!$A$2:$A$51,0),MATCH(table!M$4,m!$B$1:$AY$1,0))</f>
        <v>60.493322375765622</v>
      </c>
      <c r="N47" s="26">
        <f>INDEX(m!$B$2:$AY$51,MATCH(table!$L47,m!$A$2:$A$51,0),MATCH(table!N$4,m!$B$1:$AY$1,0))</f>
        <v>80.214228428174309</v>
      </c>
      <c r="O47" s="26">
        <f>INDEX(m!$B$2:$AY$51,MATCH(table!$L47,m!$A$2:$A$51,0),MATCH(table!O$4,m!$B$1:$AY$1,0))</f>
        <v>73.521267199465925</v>
      </c>
      <c r="P47" s="26">
        <f>INDEX(m!$B$2:$AY$51,MATCH(table!$L47,m!$A$2:$A$51,0),MATCH(table!P$4,m!$B$1:$AY$1,0))</f>
        <v>66.928375581847092</v>
      </c>
      <c r="Q47" s="26">
        <f>INDEX(m!$B$2:$AY$51,MATCH(table!$L47,m!$A$2:$A$51,0),MATCH(table!Q$4,m!$B$1:$AY$1,0))</f>
        <v>12.89043419201054</v>
      </c>
      <c r="R47" s="26">
        <f>INDEX(m!$B$2:$AY$51,MATCH(table!$L47,m!$A$2:$A$51,0),MATCH(table!R$4,m!$B$1:$AY$1,0))</f>
        <v>28.08340319978274</v>
      </c>
      <c r="S47" s="26">
        <f>INDEX(m!$B$2:$AY$51,MATCH(table!$L47,m!$A$2:$A$51,0),MATCH(table!S$4,m!$B$1:$AY$1,0))</f>
        <v>45.096447130156157</v>
      </c>
      <c r="T47" s="26"/>
      <c r="U47">
        <v>72.810406310244844</v>
      </c>
      <c r="V47">
        <v>60.580311883485649</v>
      </c>
      <c r="W47">
        <v>56.237259151736893</v>
      </c>
    </row>
    <row r="48" spans="2:32" ht="15.6" x14ac:dyDescent="0.3">
      <c r="B48" s="7" t="s">
        <v>143</v>
      </c>
      <c r="C48" s="10" t="s">
        <v>152</v>
      </c>
      <c r="D48" s="8">
        <f t="shared" ref="D48:F50" si="45">M48</f>
        <v>16.11759</v>
      </c>
      <c r="E48" s="8">
        <f t="shared" si="45"/>
        <v>31.821570000000001</v>
      </c>
      <c r="F48" s="8">
        <f t="shared" si="45"/>
        <v>69.61251</v>
      </c>
      <c r="G48" s="30">
        <f t="shared" si="43"/>
        <v>83.754999999999995</v>
      </c>
      <c r="H48" s="9">
        <f t="shared" si="44"/>
        <v>17.533190000000001</v>
      </c>
      <c r="I48" s="9">
        <f>R48</f>
        <v>37.875070000000001</v>
      </c>
      <c r="J48" s="9">
        <f>S48</f>
        <v>62.616790000000002</v>
      </c>
      <c r="L48" s="1" t="s">
        <v>140</v>
      </c>
      <c r="M48" s="26">
        <f>INDEX(m!$B$2:$AY$51,MATCH(table!$L48,m!$A$2:$A$51,0),MATCH(table!M$4,m!$B$1:$AY$1,0))</f>
        <v>16.11759</v>
      </c>
      <c r="N48" s="26">
        <f>INDEX(m!$B$2:$AY$51,MATCH(table!$L48,m!$A$2:$A$51,0),MATCH(table!N$4,m!$B$1:$AY$1,0))</f>
        <v>31.821570000000001</v>
      </c>
      <c r="O48" s="26">
        <f>INDEX(m!$B$2:$AY$51,MATCH(table!$L48,m!$A$2:$A$51,0),MATCH(table!O$4,m!$B$1:$AY$1,0))</f>
        <v>69.61251</v>
      </c>
      <c r="P48" s="26">
        <f>INDEX(m!$B$2:$AY$51,MATCH(table!$L48,m!$A$2:$A$51,0),MATCH(table!P$4,m!$B$1:$AY$1,0))</f>
        <v>83.754999999999995</v>
      </c>
      <c r="Q48" s="26">
        <f>INDEX(m!$B$2:$AY$51,MATCH(table!$L48,m!$A$2:$A$51,0),MATCH(table!Q$4,m!$B$1:$AY$1,0))</f>
        <v>17.533190000000001</v>
      </c>
      <c r="R48" s="26">
        <f>INDEX(m!$B$2:$AY$51,MATCH(table!$L48,m!$A$2:$A$51,0),MATCH(table!R$4,m!$B$1:$AY$1,0))</f>
        <v>37.875070000000001</v>
      </c>
      <c r="S48" s="26">
        <f>INDEX(m!$B$2:$AY$51,MATCH(table!$L48,m!$A$2:$A$51,0),MATCH(table!S$4,m!$B$1:$AY$1,0))</f>
        <v>62.616790000000002</v>
      </c>
      <c r="T48" s="25"/>
      <c r="U48">
        <v>5.5387409080080383</v>
      </c>
      <c r="V48">
        <v>2.7851487908553532</v>
      </c>
      <c r="W48">
        <v>1.0867331881348621</v>
      </c>
    </row>
    <row r="49" spans="2:23" ht="15.6" x14ac:dyDescent="0.3">
      <c r="B49" s="7"/>
      <c r="C49" s="10" t="s">
        <v>151</v>
      </c>
      <c r="D49" s="8">
        <f t="shared" si="45"/>
        <v>2.77407322</v>
      </c>
      <c r="E49" s="8">
        <f t="shared" si="45"/>
        <v>6.5032481600000001</v>
      </c>
      <c r="F49" s="8">
        <f t="shared" si="45"/>
        <v>8.8984518999999995</v>
      </c>
      <c r="G49" s="30">
        <f t="shared" si="43"/>
        <v>8.6979767899999985</v>
      </c>
      <c r="H49" s="9">
        <f t="shared" si="44"/>
        <v>1.34218492</v>
      </c>
      <c r="I49" s="9">
        <f>R49</f>
        <v>2.65282288</v>
      </c>
      <c r="J49" s="9">
        <f>S49</f>
        <v>4.0643692599999994</v>
      </c>
      <c r="L49" s="1" t="s">
        <v>141</v>
      </c>
      <c r="M49" s="26">
        <f>INDEX(m!$B$2:$AY$51,MATCH(table!$L49,m!$A$2:$A$51,0),MATCH(table!M$4,m!$B$1:$AY$1,0))</f>
        <v>2.77407322</v>
      </c>
      <c r="N49" s="26">
        <f>INDEX(m!$B$2:$AY$51,MATCH(table!$L49,m!$A$2:$A$51,0),MATCH(table!N$4,m!$B$1:$AY$1,0))</f>
        <v>6.5032481600000001</v>
      </c>
      <c r="O49" s="26">
        <f>INDEX(m!$B$2:$AY$51,MATCH(table!$L49,m!$A$2:$A$51,0),MATCH(table!O$4,m!$B$1:$AY$1,0))</f>
        <v>8.8984518999999995</v>
      </c>
      <c r="P49" s="26">
        <f>INDEX(m!$B$2:$AY$51,MATCH(table!$L49,m!$A$2:$A$51,0),MATCH(table!P$4,m!$B$1:$AY$1,0))</f>
        <v>8.6979767899999985</v>
      </c>
      <c r="Q49" s="26">
        <f>INDEX(m!$B$2:$AY$51,MATCH(table!$L49,m!$A$2:$A$51,0),MATCH(table!Q$4,m!$B$1:$AY$1,0))</f>
        <v>1.34218492</v>
      </c>
      <c r="R49" s="26">
        <f>INDEX(m!$B$2:$AY$51,MATCH(table!$L49,m!$A$2:$A$51,0),MATCH(table!R$4,m!$B$1:$AY$1,0))</f>
        <v>2.65282288</v>
      </c>
      <c r="S49" s="26">
        <f>INDEX(m!$B$2:$AY$51,MATCH(table!$L49,m!$A$2:$A$51,0),MATCH(table!S$4,m!$B$1:$AY$1,0))</f>
        <v>4.0643692599999994</v>
      </c>
      <c r="T49" s="25"/>
      <c r="U49">
        <v>2.548</v>
      </c>
      <c r="V49">
        <v>5.5282272781120021</v>
      </c>
      <c r="W49">
        <v>6.4807999999999986</v>
      </c>
    </row>
    <row r="50" spans="2:23" ht="15.6" x14ac:dyDescent="0.3">
      <c r="B50" s="7"/>
      <c r="C50" s="10" t="s">
        <v>145</v>
      </c>
      <c r="D50" s="8">
        <f t="shared" si="45"/>
        <v>293.25275328618051</v>
      </c>
      <c r="E50" s="8">
        <f t="shared" si="45"/>
        <v>163.77913898490991</v>
      </c>
      <c r="F50" s="8">
        <f t="shared" si="45"/>
        <v>116.10747079268739</v>
      </c>
      <c r="G50" s="30">
        <f t="shared" si="43"/>
        <v>80.948983414554434</v>
      </c>
      <c r="H50" s="9">
        <f t="shared" si="44"/>
        <v>72.810406310244844</v>
      </c>
      <c r="I50" s="9">
        <f>R50</f>
        <v>60.580311883485649</v>
      </c>
      <c r="J50" s="9">
        <f>S50</f>
        <v>59.279989345930957</v>
      </c>
      <c r="L50" s="1" t="s">
        <v>142</v>
      </c>
      <c r="M50" s="26">
        <f>INDEX(m!$B$2:$AY$51,MATCH(table!$L50,m!$A$2:$A$51,0),MATCH(table!M$4,m!$B$1:$AY$1,0))</f>
        <v>293.25275328618051</v>
      </c>
      <c r="N50" s="26">
        <f>INDEX(m!$B$2:$AY$51,MATCH(table!$L50,m!$A$2:$A$51,0),MATCH(table!N$4,m!$B$1:$AY$1,0))</f>
        <v>163.77913898490991</v>
      </c>
      <c r="O50" s="26">
        <f>INDEX(m!$B$2:$AY$51,MATCH(table!$L50,m!$A$2:$A$51,0),MATCH(table!O$4,m!$B$1:$AY$1,0))</f>
        <v>116.10747079268739</v>
      </c>
      <c r="P50" s="26">
        <f>INDEX(m!$B$2:$AY$51,MATCH(table!$L50,m!$A$2:$A$51,0),MATCH(table!P$4,m!$B$1:$AY$1,0))</f>
        <v>80.948983414554434</v>
      </c>
      <c r="Q50" s="26">
        <f>INDEX(m!$B$2:$AY$51,MATCH(table!$L50,m!$A$2:$A$51,0),MATCH(table!Q$4,m!$B$1:$AY$1,0))</f>
        <v>72.810406310244844</v>
      </c>
      <c r="R50" s="26">
        <f>INDEX(m!$B$2:$AY$51,MATCH(table!$L50,m!$A$2:$A$51,0),MATCH(table!R$4,m!$B$1:$AY$1,0))</f>
        <v>60.580311883485649</v>
      </c>
      <c r="S50" s="26">
        <f>INDEX(m!$B$2:$AY$51,MATCH(table!$L50,m!$A$2:$A$51,0),MATCH(table!S$4,m!$B$1:$AY$1,0))</f>
        <v>59.279989345930957</v>
      </c>
      <c r="T50" s="29"/>
      <c r="U50">
        <v>10.776670873746729</v>
      </c>
    </row>
    <row r="51" spans="2:23" ht="15.6" x14ac:dyDescent="0.3">
      <c r="B51" s="21" t="s">
        <v>92</v>
      </c>
      <c r="C51" s="22" t="s">
        <v>93</v>
      </c>
      <c r="D51" s="23">
        <f>M51</f>
        <v>29.367602335557429</v>
      </c>
      <c r="E51" s="23">
        <f>N51</f>
        <v>27.096977262593501</v>
      </c>
      <c r="F51" s="23">
        <f>O51</f>
        <v>6.2964985784747514</v>
      </c>
      <c r="G51" s="32">
        <f t="shared" si="43"/>
        <v>25.506679552012919</v>
      </c>
      <c r="H51" s="24">
        <f t="shared" si="44"/>
        <v>5.5387409080080383</v>
      </c>
      <c r="I51" s="24">
        <f>R51</f>
        <v>2.7851487908553532</v>
      </c>
      <c r="J51" s="24">
        <f>S51</f>
        <v>-0.86484717021370927</v>
      </c>
      <c r="L51" s="1" t="s">
        <v>62</v>
      </c>
      <c r="M51" s="26">
        <f>INDEX(m!$B$2:$AY$51,MATCH(table!$L51,m!$A$2:$A$51,0),MATCH(table!M$4,m!$B$1:$AY$1,0))</f>
        <v>29.367602335557429</v>
      </c>
      <c r="N51" s="26">
        <f>INDEX(m!$B$2:$AY$51,MATCH(table!$L51,m!$A$2:$A$51,0),MATCH(table!N$4,m!$B$1:$AY$1,0))</f>
        <v>27.096977262593501</v>
      </c>
      <c r="O51" s="26">
        <f>INDEX(m!$B$2:$AY$51,MATCH(table!$L51,m!$A$2:$A$51,0),MATCH(table!O$4,m!$B$1:$AY$1,0))</f>
        <v>6.2964985784747514</v>
      </c>
      <c r="P51" s="26">
        <f>INDEX(m!$B$2:$AY$51,MATCH(table!$L51,m!$A$2:$A$51,0),MATCH(table!P$4,m!$B$1:$AY$1,0))</f>
        <v>25.506679552012919</v>
      </c>
      <c r="Q51" s="26">
        <f>INDEX(m!$B$2:$AY$51,MATCH(table!$L51,m!$A$2:$A$51,0),MATCH(table!Q$4,m!$B$1:$AY$1,0))</f>
        <v>5.5387409080080383</v>
      </c>
      <c r="R51" s="26">
        <f>INDEX(m!$B$2:$AY$51,MATCH(table!$L51,m!$A$2:$A$51,0),MATCH(table!R$4,m!$B$1:$AY$1,0))</f>
        <v>2.7851487908553532</v>
      </c>
      <c r="S51" s="26">
        <f>INDEX(m!$B$2:$AY$51,MATCH(table!$L51,m!$A$2:$A$51,0),MATCH(table!S$4,m!$B$1:$AY$1,0))</f>
        <v>-0.86484717021370927</v>
      </c>
      <c r="T51" s="26"/>
      <c r="U51">
        <v>4.9959700000000007</v>
      </c>
      <c r="V51">
        <v>5.2060700000000004</v>
      </c>
      <c r="W51">
        <v>5.3797499999999996</v>
      </c>
    </row>
    <row r="52" spans="2:23" ht="15.6" x14ac:dyDescent="0.3">
      <c r="B52" s="7"/>
      <c r="C52" s="10" t="s">
        <v>150</v>
      </c>
      <c r="D52" s="8">
        <f>M52</f>
        <v>6.8486424949539986</v>
      </c>
      <c r="E52" s="8">
        <f>N52</f>
        <v>8.7044175946080014</v>
      </c>
      <c r="F52" s="8">
        <f>O52</f>
        <v>9.2524911247170003</v>
      </c>
      <c r="G52" s="30">
        <f t="shared" si="43"/>
        <v>11.612494386477</v>
      </c>
      <c r="H52" s="9">
        <f t="shared" si="44"/>
        <v>2.548</v>
      </c>
      <c r="I52" s="9">
        <f>R52</f>
        <v>5.5282272781120021</v>
      </c>
      <c r="J52" s="9">
        <f>S52</f>
        <v>8.5338393656929998</v>
      </c>
      <c r="L52" s="1" t="s">
        <v>63</v>
      </c>
      <c r="M52" s="26">
        <f>INDEX(m!$B$2:$AY$51,MATCH(table!$L52,m!$A$2:$A$51,0),MATCH(table!M$4,m!$B$1:$AY$1,0))</f>
        <v>6.8486424949539986</v>
      </c>
      <c r="N52" s="26">
        <f>INDEX(m!$B$2:$AY$51,MATCH(table!$L52,m!$A$2:$A$51,0),MATCH(table!N$4,m!$B$1:$AY$1,0))</f>
        <v>8.7044175946080014</v>
      </c>
      <c r="O52" s="26">
        <f>INDEX(m!$B$2:$AY$51,MATCH(table!$L52,m!$A$2:$A$51,0),MATCH(table!O$4,m!$B$1:$AY$1,0))</f>
        <v>9.2524911247170003</v>
      </c>
      <c r="P52" s="26">
        <f>INDEX(m!$B$2:$AY$51,MATCH(table!$L52,m!$A$2:$A$51,0),MATCH(table!P$4,m!$B$1:$AY$1,0))</f>
        <v>11.612494386477</v>
      </c>
      <c r="Q52" s="26">
        <f>INDEX(m!$B$2:$AY$51,MATCH(table!$L52,m!$A$2:$A$51,0),MATCH(table!Q$4,m!$B$1:$AY$1,0))</f>
        <v>2.548</v>
      </c>
      <c r="R52" s="26">
        <f>INDEX(m!$B$2:$AY$51,MATCH(table!$L52,m!$A$2:$A$51,0),MATCH(table!R$4,m!$B$1:$AY$1,0))</f>
        <v>5.5282272781120021</v>
      </c>
      <c r="S52" s="26">
        <f>INDEX(m!$B$2:$AY$51,MATCH(table!$L52,m!$A$2:$A$51,0),MATCH(table!S$4,m!$B$1:$AY$1,0))</f>
        <v>8.5338393656929998</v>
      </c>
      <c r="T52" s="26"/>
    </row>
    <row r="53" spans="2:23" ht="15.6" x14ac:dyDescent="0.3">
      <c r="B53" s="16"/>
      <c r="C53" s="19" t="s">
        <v>100</v>
      </c>
      <c r="D53" s="17">
        <f>M53</f>
        <v>44.802878972847218</v>
      </c>
      <c r="E53" s="17">
        <f>N53</f>
        <v>55.677580244823417</v>
      </c>
      <c r="F53" s="17">
        <f>O53</f>
        <v>44.79940352073119</v>
      </c>
      <c r="G53" s="31">
        <f t="shared" si="43"/>
        <v>49.241966497360877</v>
      </c>
      <c r="H53" s="18">
        <f t="shared" si="44"/>
        <v>10.901037610767631</v>
      </c>
      <c r="I53" s="18">
        <f t="shared" si="44"/>
        <v>23.58944755735202</v>
      </c>
      <c r="J53" s="18">
        <f>J52/J63*100</f>
        <v>36.510087868786805</v>
      </c>
      <c r="L53" s="1" t="s">
        <v>64</v>
      </c>
      <c r="M53" s="26">
        <f>INDEX(m!$B$2:$AY$51,MATCH(table!$L53,m!$A$2:$A$51,0),MATCH(table!M$4,m!$B$1:$AY$1,0))</f>
        <v>44.802878972847218</v>
      </c>
      <c r="N53" s="26">
        <f>INDEX(m!$B$2:$AY$51,MATCH(table!$L53,m!$A$2:$A$51,0),MATCH(table!N$4,m!$B$1:$AY$1,0))</f>
        <v>55.677580244823417</v>
      </c>
      <c r="O53" s="26">
        <f>INDEX(m!$B$2:$AY$51,MATCH(table!$L53,m!$A$2:$A$51,0),MATCH(table!O$4,m!$B$1:$AY$1,0))</f>
        <v>44.79940352073119</v>
      </c>
      <c r="P53" s="26">
        <f>INDEX(m!$B$2:$AY$51,MATCH(table!$L53,m!$A$2:$A$51,0),MATCH(table!P$4,m!$B$1:$AY$1,0))</f>
        <v>49.241966497360877</v>
      </c>
      <c r="Q53" s="26">
        <f>INDEX(m!$B$2:$AY$51,MATCH(table!$L53,m!$A$2:$A$51,0),MATCH(table!Q$4,m!$B$1:$AY$1,0))</f>
        <v>10.901037610767631</v>
      </c>
      <c r="R53" s="26">
        <f>INDEX(m!$B$2:$AY$51,MATCH(table!$L53,m!$A$2:$A$51,0),MATCH(table!R$4,m!$B$1:$AY$1,0))</f>
        <v>23.58944755735202</v>
      </c>
      <c r="S53" s="26">
        <f>INDEX(m!$B$2:$AY$51,MATCH(table!$L53,m!$A$2:$A$51,0),MATCH(table!S$4,m!$B$1:$AY$1,0))</f>
        <v>35.938013936497903</v>
      </c>
      <c r="T53" s="26"/>
    </row>
    <row r="54" spans="2:23" ht="15.6" x14ac:dyDescent="0.3">
      <c r="B54" s="16" t="s">
        <v>104</v>
      </c>
      <c r="C54" s="19" t="s">
        <v>101</v>
      </c>
      <c r="D54" s="17">
        <f t="shared" ref="D54" si="46">M54</f>
        <v>4.3661000000000003</v>
      </c>
      <c r="E54" s="17">
        <f t="shared" ref="E54:E58" si="47">N54</f>
        <v>3.3996</v>
      </c>
      <c r="F54" s="17">
        <f t="shared" ref="F54:F58" si="48">O54</f>
        <v>4.9214700000000002</v>
      </c>
      <c r="G54" s="31">
        <f t="shared" ref="G54:G58" si="49">P54</f>
        <v>5.5098199999999986</v>
      </c>
      <c r="H54" s="18">
        <f>Q54</f>
        <v>4.9959700000000007</v>
      </c>
      <c r="I54" s="18">
        <f>R54</f>
        <v>5.2060700000000004</v>
      </c>
      <c r="J54" s="18">
        <f>S54</f>
        <v>5.8745200000000004</v>
      </c>
      <c r="L54" s="1" t="s">
        <v>103</v>
      </c>
      <c r="M54" s="26">
        <f>INDEX(m!$B$2:$AY$51,MATCH(table!$L54,m!$A$2:$A$51,0),MATCH(table!M$4,m!$B$1:$AY$1,0))</f>
        <v>4.3661000000000003</v>
      </c>
      <c r="N54" s="26">
        <f>INDEX(m!$B$2:$AY$51,MATCH(table!$L54,m!$A$2:$A$51,0),MATCH(table!N$4,m!$B$1:$AY$1,0))</f>
        <v>3.3996</v>
      </c>
      <c r="O54" s="26">
        <f>INDEX(m!$B$2:$AY$51,MATCH(table!$L54,m!$A$2:$A$51,0),MATCH(table!O$4,m!$B$1:$AY$1,0))</f>
        <v>4.9214700000000002</v>
      </c>
      <c r="P54" s="26">
        <f>INDEX(m!$B$2:$AY$51,MATCH(table!$L54,m!$A$2:$A$51,0),MATCH(table!P$4,m!$B$1:$AY$1,0))</f>
        <v>5.5098199999999986</v>
      </c>
      <c r="Q54" s="26">
        <f>INDEX(m!$B$2:$AY$51,MATCH(table!$L54,m!$A$2:$A$51,0),MATCH(table!Q$4,m!$B$1:$AY$1,0))</f>
        <v>4.9959700000000007</v>
      </c>
      <c r="R54" s="26">
        <f>INDEX(m!$B$2:$AY$51,MATCH(table!$L54,m!$A$2:$A$51,0),MATCH(table!R$4,m!$B$1:$AY$1,0))</f>
        <v>5.2060700000000004</v>
      </c>
      <c r="S54" s="26">
        <f>INDEX(m!$B$2:$AY$51,MATCH(table!$L54,m!$A$2:$A$51,0),MATCH(table!S$4,m!$B$1:$AY$1,0))</f>
        <v>5.8745200000000004</v>
      </c>
      <c r="T54" s="26"/>
    </row>
    <row r="55" spans="2:23" ht="15.6" x14ac:dyDescent="0.3">
      <c r="B55" s="21" t="s">
        <v>113</v>
      </c>
      <c r="C55" s="22" t="s">
        <v>117</v>
      </c>
      <c r="D55" s="23">
        <f>M55</f>
        <v>1.6429149999999999</v>
      </c>
      <c r="E55" s="23">
        <f t="shared" si="47"/>
        <v>1.846967</v>
      </c>
      <c r="F55" s="23">
        <f t="shared" si="48"/>
        <v>2.3081100000000001</v>
      </c>
      <c r="G55" s="32">
        <f t="shared" si="49"/>
        <v>2.6416710000000001</v>
      </c>
      <c r="H55" s="24">
        <f>Q55</f>
        <v>2.8176109999999999</v>
      </c>
      <c r="I55" s="24">
        <f>R55</f>
        <v>2.9512870000000002</v>
      </c>
      <c r="J55" s="24">
        <f>S55</f>
        <v>2.9715159999999998</v>
      </c>
      <c r="L55" s="1" t="s">
        <v>109</v>
      </c>
      <c r="M55" s="39">
        <f>INDEX(q!$B$2:$S$9,MATCH($L55,q!$A$2:$A$9,0),MATCH(M$3,q!$B$1:$S$1,0))/1000000</f>
        <v>1.6429149999999999</v>
      </c>
      <c r="N55" s="39">
        <f>INDEX(q!$B$2:$S$9,MATCH($L55,q!$A$2:$A$9,0),MATCH(N$3,q!$B$1:$S$1,0))/1000000</f>
        <v>1.846967</v>
      </c>
      <c r="O55" s="39">
        <f>INDEX(q!$B$2:$S$9,MATCH($L55,q!$A$2:$A$9,0),MATCH(O$3,q!$B$1:$S$1,0))/1000000</f>
        <v>2.3081100000000001</v>
      </c>
      <c r="P55" s="39">
        <f>INDEX(q!$B$2:$S$9,MATCH($L55,q!$A$2:$A$9,0),MATCH(P$3,q!$B$1:$S$1,0))/1000000</f>
        <v>2.6416710000000001</v>
      </c>
      <c r="Q55" s="39">
        <f>INDEX(q!$B$2:$Z$9,MATCH($L55,q!$A$2:$A$9,0),MATCH(Q$3,q!$B$1:$Z$1,0))/1000000</f>
        <v>2.8176109999999999</v>
      </c>
      <c r="R55" s="39">
        <f>INDEX(q!$B$2:$Z$9,MATCH($L55,q!$A$2:$A$9,0),MATCH(R$3,q!$B$1:$Z$1,0))/1000000</f>
        <v>2.9512870000000002</v>
      </c>
      <c r="S55" s="39">
        <f>INDEX(q!$B$2:$Z$9,MATCH($L55,q!$A$2:$A$9,0),MATCH(S$3,q!$B$1:$Z$1,0))/1000000</f>
        <v>2.9715159999999998</v>
      </c>
      <c r="T55" s="27"/>
    </row>
    <row r="56" spans="2:23" ht="15.6" x14ac:dyDescent="0.3">
      <c r="B56" s="7" t="s">
        <v>114</v>
      </c>
      <c r="C56" s="10"/>
      <c r="D56" s="8">
        <f t="shared" ref="D56:D58" si="50">M56</f>
        <v>107.6180207609374</v>
      </c>
      <c r="E56" s="8">
        <f t="shared" si="47"/>
        <v>98.39601507664851</v>
      </c>
      <c r="F56" s="8">
        <f t="shared" si="48"/>
        <v>99.940982206763181</v>
      </c>
      <c r="G56" s="30">
        <f t="shared" si="49"/>
        <v>97.0751816344102</v>
      </c>
      <c r="H56" s="9">
        <f>Q56</f>
        <v>98.651356906023182</v>
      </c>
      <c r="I56" s="9">
        <f>R56</f>
        <v>98.841910521101752</v>
      </c>
      <c r="J56" s="9">
        <f>S56</f>
        <v>96.048225872922245</v>
      </c>
      <c r="L56" s="1" t="s">
        <v>110</v>
      </c>
      <c r="M56" s="39">
        <f>INDEX(q!$B$2:$S$9,MATCH($L56,q!$A$2:$A$9,0),MATCH(M$3,q!$B$1:$S$1,0))</f>
        <v>107.6180207609374</v>
      </c>
      <c r="N56" s="39">
        <f>INDEX(q!$B$2:$S$9,MATCH($L56,q!$A$2:$A$9,0),MATCH(N$3,q!$B$1:$S$1,0))</f>
        <v>98.39601507664851</v>
      </c>
      <c r="O56" s="39">
        <f>INDEX(q!$B$2:$S$9,MATCH($L56,q!$A$2:$A$9,0),MATCH(O$3,q!$B$1:$S$1,0))</f>
        <v>99.940982206763181</v>
      </c>
      <c r="P56" s="39">
        <f>INDEX(q!$B$2:$S$9,MATCH($L56,q!$A$2:$A$9,0),MATCH(P$3,q!$B$1:$S$1,0))</f>
        <v>97.0751816344102</v>
      </c>
      <c r="Q56" s="39">
        <f>INDEX(q!$B$2:$S$9,MATCH($L56,q!$A$2:$A$9,0),MATCH(Q$3,q!$B$1:$S$1,0))</f>
        <v>98.651356906023182</v>
      </c>
      <c r="R56" s="39">
        <f>INDEX(q!$B$2:$S$9,MATCH($L56,q!$A$2:$A$9,0),MATCH(R$3,q!$B$1:$S$1,0))</f>
        <v>98.841910521101752</v>
      </c>
      <c r="S56" s="39">
        <f>INDEX(q!$B$2:$S$9,MATCH($L56,q!$A$2:$A$9,0),MATCH(S$3,q!$B$1:$S$1,0))</f>
        <v>96.048225872922245</v>
      </c>
      <c r="T56" s="27"/>
    </row>
    <row r="57" spans="2:23" ht="15.6" x14ac:dyDescent="0.3">
      <c r="B57" s="7" t="s">
        <v>115</v>
      </c>
      <c r="C57" s="10" t="s">
        <v>93</v>
      </c>
      <c r="D57" s="8">
        <f t="shared" si="50"/>
        <v>15.324814438880299</v>
      </c>
      <c r="E57" s="8">
        <f t="shared" si="47"/>
        <v>12.42011911754412</v>
      </c>
      <c r="F57" s="8">
        <f t="shared" si="48"/>
        <v>24.96758198711726</v>
      </c>
      <c r="G57" s="30">
        <f t="shared" si="49"/>
        <v>14.451694243341951</v>
      </c>
      <c r="H57" s="9">
        <f>Q57</f>
        <v>16.269543242725749</v>
      </c>
      <c r="I57" s="9">
        <f>R57</f>
        <v>17.612503093453991</v>
      </c>
      <c r="J57" s="9">
        <f>S57</f>
        <v>13.5363744284526</v>
      </c>
      <c r="L57" s="1" t="s">
        <v>111</v>
      </c>
      <c r="M57" s="39">
        <f>INDEX(q!$B$2:$S$9,MATCH($L57,q!$A$2:$A$9,0),MATCH(M$3,q!$B$1:$S$1,0))</f>
        <v>15.324814438880299</v>
      </c>
      <c r="N57" s="39">
        <f>INDEX(q!$B$2:$S$9,MATCH($L57,q!$A$2:$A$9,0),MATCH(N$3,q!$B$1:$S$1,0))</f>
        <v>12.42011911754412</v>
      </c>
      <c r="O57" s="39">
        <f>INDEX(q!$B$2:$S$9,MATCH($L57,q!$A$2:$A$9,0),MATCH(O$3,q!$B$1:$S$1,0))</f>
        <v>24.96758198711726</v>
      </c>
      <c r="P57" s="39">
        <f>INDEX(q!$B$2:$S$9,MATCH($L57,q!$A$2:$A$9,0),MATCH(P$3,q!$B$1:$S$1,0))</f>
        <v>14.451694243341951</v>
      </c>
      <c r="Q57" s="39">
        <f>INDEX(q!$B$2:$S$9,MATCH($L57,q!$A$2:$A$9,0),MATCH(Q$3,q!$B$1:$S$1,0))</f>
        <v>16.269543242725749</v>
      </c>
      <c r="R57" s="39">
        <f>INDEX(q!$B$2:$S$9,MATCH($L57,q!$A$2:$A$9,0),MATCH(R$3,q!$B$1:$S$1,0))</f>
        <v>17.612503093453991</v>
      </c>
      <c r="S57" s="39">
        <f>INDEX(q!$B$2:$S$9,MATCH($L57,q!$A$2:$A$9,0),MATCH(S$3,q!$B$1:$S$1,0))</f>
        <v>13.5363744284526</v>
      </c>
      <c r="T57" s="27"/>
    </row>
    <row r="58" spans="2:23" ht="16.2" thickBot="1" x14ac:dyDescent="0.35">
      <c r="B58" s="11" t="s">
        <v>116</v>
      </c>
      <c r="C58" s="12" t="s">
        <v>93</v>
      </c>
      <c r="D58" s="13">
        <f t="shared" si="50"/>
        <v>4.7865202627801962</v>
      </c>
      <c r="E58" s="13">
        <f t="shared" si="47"/>
        <v>22.956511030599032</v>
      </c>
      <c r="F58" s="13">
        <f t="shared" si="48"/>
        <v>23.03573378794135</v>
      </c>
      <c r="G58" s="33">
        <f t="shared" si="49"/>
        <v>17.830474744671189</v>
      </c>
      <c r="H58" s="14">
        <f>Q58</f>
        <v>15.57912176005717</v>
      </c>
      <c r="I58" s="14">
        <f>R58</f>
        <v>14.10681044922879</v>
      </c>
      <c r="J58" s="14">
        <f>S58</f>
        <v>14.7142687638583</v>
      </c>
      <c r="L58" s="1" t="s">
        <v>112</v>
      </c>
      <c r="M58" s="39">
        <f>INDEX(q!$B$2:$S$9,MATCH($L58,q!$A$2:$A$9,0),MATCH(M$3,q!$B$1:$S$1,0))</f>
        <v>4.7865202627801962</v>
      </c>
      <c r="N58" s="39">
        <f>INDEX(q!$B$2:$S$9,MATCH($L58,q!$A$2:$A$9,0),MATCH(N$3,q!$B$1:$S$1,0))</f>
        <v>22.956511030599032</v>
      </c>
      <c r="O58" s="39">
        <f>INDEX(q!$B$2:$S$9,MATCH($L58,q!$A$2:$A$9,0),MATCH(O$3,q!$B$1:$S$1,0))</f>
        <v>23.03573378794135</v>
      </c>
      <c r="P58" s="39">
        <f>INDEX(q!$B$2:$S$9,MATCH($L58,q!$A$2:$A$9,0),MATCH(P$3,q!$B$1:$S$1,0))</f>
        <v>17.830474744671189</v>
      </c>
      <c r="Q58" s="39">
        <f>INDEX(q!$B$2:$S$9,MATCH($L58,q!$A$2:$A$9,0),MATCH(Q$3,q!$B$1:$S$1,0))</f>
        <v>15.57912176005717</v>
      </c>
      <c r="R58" s="39">
        <f>INDEX(q!$B$2:$S$9,MATCH($L58,q!$A$2:$A$9,0),MATCH(R$3,q!$B$1:$S$1,0))</f>
        <v>14.10681044922879</v>
      </c>
      <c r="S58" s="39">
        <f>INDEX(q!$B$2:$S$9,MATCH($L58,q!$A$2:$A$9,0),MATCH(S$3,q!$B$1:$S$1,0))</f>
        <v>14.7142687638583</v>
      </c>
      <c r="T58" s="27"/>
    </row>
    <row r="59" spans="2:23" x14ac:dyDescent="0.3">
      <c r="B59" s="40" t="s">
        <v>174</v>
      </c>
    </row>
    <row r="62" spans="2:23" x14ac:dyDescent="0.3">
      <c r="C62" t="s">
        <v>161</v>
      </c>
      <c r="D62">
        <v>43.55</v>
      </c>
      <c r="E62">
        <v>53.85</v>
      </c>
      <c r="F62">
        <v>70.44</v>
      </c>
      <c r="G62">
        <v>80.66</v>
      </c>
      <c r="H62" s="36">
        <f>H22/H23*100</f>
        <v>81.519123199999981</v>
      </c>
      <c r="I62" s="36">
        <f>H62</f>
        <v>81.519123199999981</v>
      </c>
      <c r="J62" s="36">
        <f>I62</f>
        <v>81.519123199999981</v>
      </c>
    </row>
    <row r="63" spans="2:23" x14ac:dyDescent="0.3">
      <c r="C63" t="s">
        <v>162</v>
      </c>
      <c r="D63" s="36">
        <f>D62/D9*1000</f>
        <v>15.284241262888948</v>
      </c>
      <c r="E63" s="36">
        <f>E62/E9*1000</f>
        <v>15.633164953840796</v>
      </c>
      <c r="F63" s="36">
        <f>F62/F9*1000</f>
        <v>20.652712500989534</v>
      </c>
      <c r="G63" s="36">
        <f>G62/G9*1000</f>
        <v>23.581623524321287</v>
      </c>
      <c r="H63" s="36">
        <f>H62/H9*1000</f>
        <v>23.373921740102816</v>
      </c>
      <c r="I63" s="36">
        <f>H63</f>
        <v>23.373921740102816</v>
      </c>
      <c r="J63" s="36">
        <f>I63</f>
        <v>23.373921740102816</v>
      </c>
    </row>
    <row r="65" spans="5:5" x14ac:dyDescent="0.3">
      <c r="E65">
        <f>E62/D62</f>
        <v>1.2365097588978187</v>
      </c>
    </row>
    <row r="67" spans="5:5" x14ac:dyDescent="0.3">
      <c r="E67" s="36"/>
    </row>
  </sheetData>
  <mergeCells count="1">
    <mergeCell ref="B2:J2"/>
  </mergeCells>
  <pageMargins left="0.7" right="0.7" top="0.75" bottom="0.75" header="0.3" footer="0.3"/>
  <pageSetup scale="63" orientation="portrait" r:id="rId1"/>
  <ignoredErrors>
    <ignoredError sqref="D27:J27 D35:J35 J39 J47 J53 D31:J31 J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zoomScale="70" zoomScaleNormal="70" workbookViewId="0">
      <pane xSplit="1" ySplit="1" topLeftCell="B6" activePane="bottomRight" state="frozen"/>
      <selection pane="topRight" activeCell="B1" sqref="B1"/>
      <selection pane="bottomLeft" activeCell="A2" sqref="A2"/>
      <selection pane="bottomRight" sqref="A1:AY51"/>
    </sheetView>
  </sheetViews>
  <sheetFormatPr defaultRowHeight="14.4" x14ac:dyDescent="0.3"/>
  <cols>
    <col min="1" max="1" width="31.6640625" bestFit="1" customWidth="1"/>
  </cols>
  <sheetData>
    <row r="1" spans="1:5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81</v>
      </c>
      <c r="AC1" s="1" t="s">
        <v>102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147</v>
      </c>
      <c r="AR1" s="1" t="s">
        <v>154</v>
      </c>
      <c r="AS1" s="1" t="s">
        <v>155</v>
      </c>
      <c r="AT1" s="1" t="s">
        <v>157</v>
      </c>
      <c r="AU1" s="1" t="s">
        <v>158</v>
      </c>
      <c r="AV1" s="1" t="s">
        <v>160</v>
      </c>
      <c r="AW1" s="1" t="s">
        <v>164</v>
      </c>
      <c r="AX1" s="1" t="s">
        <v>165</v>
      </c>
      <c r="AY1" s="1" t="s">
        <v>166</v>
      </c>
    </row>
    <row r="2" spans="1:51" x14ac:dyDescent="0.3">
      <c r="A2" s="1" t="s">
        <v>26</v>
      </c>
      <c r="B2">
        <v>9.9381323270424247</v>
      </c>
      <c r="C2">
        <v>10.304465064065811</v>
      </c>
      <c r="D2">
        <v>10.801589967128139</v>
      </c>
      <c r="E2">
        <v>13.82666239122111</v>
      </c>
      <c r="F2">
        <v>15.116890422693089</v>
      </c>
      <c r="G2">
        <v>15.316321367910589</v>
      </c>
      <c r="H2">
        <v>15.74391717988552</v>
      </c>
      <c r="I2">
        <v>15.94607660626089</v>
      </c>
      <c r="J2">
        <v>16.23601620301206</v>
      </c>
      <c r="K2">
        <v>16.946236554332359</v>
      </c>
      <c r="L2">
        <v>16.449356455983221</v>
      </c>
      <c r="M2">
        <v>14.42580960688089</v>
      </c>
      <c r="N2">
        <v>13.826953899939859</v>
      </c>
      <c r="O2">
        <v>14.46145774732933</v>
      </c>
      <c r="P2">
        <v>14.547418374177351</v>
      </c>
      <c r="Q2">
        <v>13.243298123844699</v>
      </c>
      <c r="R2">
        <v>12.33189512250156</v>
      </c>
      <c r="S2">
        <v>12.184509595026091</v>
      </c>
      <c r="T2">
        <v>12.233205886118631</v>
      </c>
      <c r="U2">
        <v>11.16013284942378</v>
      </c>
      <c r="V2">
        <v>11.293457426401631</v>
      </c>
      <c r="W2">
        <v>10.64384365003994</v>
      </c>
      <c r="X2">
        <v>9.1891224121649948</v>
      </c>
      <c r="Y2">
        <v>10.015672592001939</v>
      </c>
      <c r="Z2">
        <v>10.060467561619131</v>
      </c>
      <c r="AA2">
        <v>8.9606325279487429</v>
      </c>
      <c r="AB2">
        <v>8.5842388856078866</v>
      </c>
      <c r="AC2">
        <v>7.9239441073877162</v>
      </c>
      <c r="AD2">
        <v>7.5123924499698393</v>
      </c>
      <c r="AE2">
        <v>6.9179299936101177</v>
      </c>
      <c r="AF2">
        <v>6.6972767322650721</v>
      </c>
      <c r="AG2">
        <v>6.1072329356228829</v>
      </c>
      <c r="AH2">
        <v>5.3119822680035256</v>
      </c>
      <c r="AI2">
        <v>4.6413404611335336</v>
      </c>
      <c r="AJ2">
        <v>4.9787806671351298</v>
      </c>
      <c r="AK2">
        <v>6.1559821359717972</v>
      </c>
      <c r="AL2">
        <v>6.3304441848463648</v>
      </c>
      <c r="AM2">
        <v>6.5964847742271324</v>
      </c>
      <c r="AN2">
        <v>7.4433134789218132</v>
      </c>
      <c r="AO2">
        <v>8.3598213391466789</v>
      </c>
      <c r="AP2">
        <v>8.7129663773040544</v>
      </c>
      <c r="AQ2">
        <v>9.5688087673903208</v>
      </c>
      <c r="AR2">
        <v>9.1020943294783567</v>
      </c>
      <c r="AS2">
        <v>8.6334765918372671</v>
      </c>
      <c r="AT2">
        <v>8.2803589306900474</v>
      </c>
      <c r="AU2">
        <v>8.1863350175044101</v>
      </c>
      <c r="AV2">
        <v>8.0997477914135168</v>
      </c>
      <c r="AW2">
        <v>8.8050064343997203</v>
      </c>
      <c r="AX2">
        <v>9.0299816704657072</v>
      </c>
      <c r="AY2">
        <v>9.1684905366870222</v>
      </c>
    </row>
    <row r="3" spans="1:51" x14ac:dyDescent="0.3">
      <c r="A3" s="1" t="s">
        <v>27</v>
      </c>
      <c r="B3">
        <v>10.550708852131249</v>
      </c>
      <c r="C3">
        <v>7.4607312269469137</v>
      </c>
      <c r="D3">
        <v>8.3014113408378645</v>
      </c>
      <c r="E3">
        <v>15.68322492583043</v>
      </c>
      <c r="F3">
        <v>20.931940535585319</v>
      </c>
      <c r="G3">
        <v>22.156749706150318</v>
      </c>
      <c r="H3">
        <v>17.21894490356587</v>
      </c>
      <c r="I3">
        <v>18.56529650787461</v>
      </c>
      <c r="J3">
        <v>17.946244438280591</v>
      </c>
      <c r="K3">
        <v>20.467942915377641</v>
      </c>
      <c r="L3">
        <v>15.256269871809559</v>
      </c>
      <c r="M3">
        <v>6.6201662147028131</v>
      </c>
      <c r="N3">
        <v>-0.39982485124306127</v>
      </c>
      <c r="O3">
        <v>0.50499797015228243</v>
      </c>
      <c r="P3">
        <v>8.7353434361330731</v>
      </c>
      <c r="Q3">
        <v>13.5517797193893</v>
      </c>
      <c r="R3">
        <v>13.10047529127932</v>
      </c>
      <c r="S3">
        <v>13.44840949022195</v>
      </c>
      <c r="T3">
        <v>13.49749184928914</v>
      </c>
      <c r="U3">
        <v>14.19913654295387</v>
      </c>
      <c r="V3">
        <v>14.62660691595644</v>
      </c>
      <c r="W3">
        <v>14.513592198269169</v>
      </c>
      <c r="X3">
        <v>7.8932484263136091</v>
      </c>
      <c r="Y3">
        <v>1.951670026651328</v>
      </c>
      <c r="Z3">
        <v>-2.5067399711469509</v>
      </c>
      <c r="AA3">
        <v>-0.33310145397162738</v>
      </c>
      <c r="AB3">
        <v>3.4172143568443691</v>
      </c>
      <c r="AC3">
        <v>5.5238011319374207</v>
      </c>
      <c r="AD3">
        <v>7.6097888785007717</v>
      </c>
      <c r="AE3">
        <v>7.1037247718285768</v>
      </c>
      <c r="AF3">
        <v>8.7976646965503562</v>
      </c>
      <c r="AG3">
        <v>8.7856596005775494</v>
      </c>
      <c r="AH3">
        <v>8.3987585429805183</v>
      </c>
      <c r="AI3">
        <v>6.5263824476782206</v>
      </c>
      <c r="AJ3">
        <v>3.5552966321434871</v>
      </c>
      <c r="AK3">
        <v>5.1730238472335399</v>
      </c>
      <c r="AL3">
        <v>3.9095324380818459</v>
      </c>
      <c r="AM3">
        <v>5.8256934866619394</v>
      </c>
      <c r="AN3">
        <v>8.3093703510487842</v>
      </c>
      <c r="AO3">
        <v>13.26345409634648</v>
      </c>
      <c r="AP3">
        <v>15.702913348999241</v>
      </c>
      <c r="AQ3">
        <v>15.157246400145221</v>
      </c>
      <c r="AR3">
        <v>11.59795968841089</v>
      </c>
      <c r="AS3">
        <v>8.4867597961993617</v>
      </c>
      <c r="AT3">
        <v>3.5962849223135338</v>
      </c>
      <c r="AU3">
        <v>3.1141627045329541</v>
      </c>
      <c r="AV3">
        <v>1.572582913191136</v>
      </c>
      <c r="AW3">
        <v>7.1361962787916768</v>
      </c>
      <c r="AX3">
        <v>7.0592548599146649</v>
      </c>
      <c r="AY3">
        <v>9.8379439740207193</v>
      </c>
    </row>
    <row r="4" spans="1:51" x14ac:dyDescent="0.3">
      <c r="A4" s="1" t="s">
        <v>28</v>
      </c>
      <c r="B4">
        <v>0.32462739292622789</v>
      </c>
      <c r="C4">
        <v>0.70385174348615165</v>
      </c>
      <c r="D4">
        <v>1.033931410141091</v>
      </c>
      <c r="E4">
        <v>2.138428856326529</v>
      </c>
      <c r="F4">
        <v>1.975411062972257</v>
      </c>
      <c r="G4">
        <v>1.3279154817036389</v>
      </c>
      <c r="H4">
        <v>0.94375501802771222</v>
      </c>
      <c r="I4">
        <v>2.3044823095246159</v>
      </c>
      <c r="J4">
        <v>1.1780529481636259</v>
      </c>
      <c r="K4">
        <v>1.5528039488143319</v>
      </c>
      <c r="L4">
        <v>1.0364248471842761</v>
      </c>
      <c r="M4">
        <v>-0.92615165145461709</v>
      </c>
      <c r="N4">
        <v>-0.20042876238869681</v>
      </c>
      <c r="O4">
        <v>1.2652036833294189</v>
      </c>
      <c r="P4">
        <v>1.1098079562541681</v>
      </c>
      <c r="Q4">
        <v>0.97558472330917989</v>
      </c>
      <c r="R4">
        <v>1.154694100063314</v>
      </c>
      <c r="S4">
        <v>1.194967771216126</v>
      </c>
      <c r="T4">
        <v>0.98757199860797751</v>
      </c>
      <c r="U4">
        <v>1.326338803486224</v>
      </c>
      <c r="V4">
        <v>1.299405098102391</v>
      </c>
      <c r="W4">
        <v>0.96004582988417653</v>
      </c>
      <c r="X4">
        <v>-0.29198013383792681</v>
      </c>
      <c r="Y4">
        <v>-0.17617303306703011</v>
      </c>
      <c r="Z4">
        <v>-0.15979347237891131</v>
      </c>
      <c r="AA4">
        <v>0.2532597840329836</v>
      </c>
      <c r="AB4">
        <v>0.7605342047157202</v>
      </c>
      <c r="AC4">
        <v>0.36155775213181168</v>
      </c>
      <c r="AD4">
        <v>0.76895595495757396</v>
      </c>
      <c r="AE4">
        <v>0.63543590943085904</v>
      </c>
      <c r="AF4">
        <v>0.77915759030300746</v>
      </c>
      <c r="AG4">
        <v>0.76599668906201956</v>
      </c>
      <c r="AH4">
        <v>0.5401880560126614</v>
      </c>
      <c r="AI4">
        <v>0.31711777840449079</v>
      </c>
      <c r="AJ4">
        <v>2.9551438821405068E-2</v>
      </c>
      <c r="AK4">
        <v>0.94322228647833739</v>
      </c>
      <c r="AL4">
        <v>4.2889150701379214E-3</v>
      </c>
      <c r="AM4">
        <v>0.50409515413565353</v>
      </c>
      <c r="AN4">
        <v>1.5610006820638911</v>
      </c>
      <c r="AO4">
        <v>1.217657155304869</v>
      </c>
      <c r="AP4">
        <v>1.097362336179025</v>
      </c>
      <c r="AQ4">
        <v>1.427687973431953</v>
      </c>
      <c r="AR4">
        <v>0.34988316068086112</v>
      </c>
      <c r="AS4">
        <v>0.33318434306822498</v>
      </c>
      <c r="AT4">
        <v>0.2133779678937619</v>
      </c>
      <c r="AU4">
        <v>0.23000864738408441</v>
      </c>
      <c r="AV4">
        <v>-5.0507483451935273E-2</v>
      </c>
      <c r="AW4">
        <v>1.601790705211237</v>
      </c>
      <c r="AX4">
        <v>0.21106697835570809</v>
      </c>
      <c r="AY4">
        <v>0.63177295483888352</v>
      </c>
    </row>
    <row r="5" spans="1:51" x14ac:dyDescent="0.3">
      <c r="A5" s="1" t="s">
        <v>29</v>
      </c>
      <c r="B5">
        <v>2849.2</v>
      </c>
      <c r="C5">
        <v>2848.85</v>
      </c>
      <c r="D5">
        <v>2849.21</v>
      </c>
      <c r="E5">
        <v>2849.34</v>
      </c>
      <c r="F5">
        <v>2850.26</v>
      </c>
      <c r="G5">
        <v>2865.73</v>
      </c>
      <c r="H5">
        <v>2948.46</v>
      </c>
      <c r="I5">
        <v>3083.88</v>
      </c>
      <c r="J5">
        <v>3120.84</v>
      </c>
      <c r="K5">
        <v>3134.1</v>
      </c>
      <c r="L5">
        <v>3168.09</v>
      </c>
      <c r="M5">
        <v>3199.28</v>
      </c>
      <c r="N5">
        <v>3333.02</v>
      </c>
      <c r="O5">
        <v>3389.12</v>
      </c>
      <c r="P5">
        <v>3419.67</v>
      </c>
      <c r="Q5">
        <v>3444.6</v>
      </c>
      <c r="R5">
        <v>3491.46</v>
      </c>
      <c r="S5">
        <v>3521.87</v>
      </c>
      <c r="T5">
        <v>3518.14</v>
      </c>
      <c r="U5">
        <v>3475.7</v>
      </c>
      <c r="V5">
        <v>3447.5</v>
      </c>
      <c r="W5">
        <v>3432.66</v>
      </c>
      <c r="X5">
        <v>3454.55</v>
      </c>
      <c r="Y5">
        <v>3472.78</v>
      </c>
      <c r="Z5">
        <v>3459.5</v>
      </c>
      <c r="AA5">
        <v>3447.95</v>
      </c>
      <c r="AB5">
        <v>3432.78</v>
      </c>
      <c r="AC5">
        <v>3410.69</v>
      </c>
      <c r="AD5">
        <v>3401.47</v>
      </c>
      <c r="AE5">
        <v>3381.89</v>
      </c>
      <c r="AF5">
        <v>3375.99</v>
      </c>
      <c r="AG5">
        <v>3377.03</v>
      </c>
      <c r="AH5">
        <v>3381.43</v>
      </c>
      <c r="AI5">
        <v>3381.05</v>
      </c>
      <c r="AJ5">
        <v>3380.81</v>
      </c>
      <c r="AK5">
        <v>3380.94</v>
      </c>
      <c r="AL5">
        <v>3380.93</v>
      </c>
      <c r="AM5">
        <v>3404.64</v>
      </c>
      <c r="AN5">
        <v>3417.77</v>
      </c>
      <c r="AO5">
        <v>3420.46</v>
      </c>
      <c r="AP5">
        <v>3448.24</v>
      </c>
      <c r="AQ5">
        <v>3466.56</v>
      </c>
      <c r="AR5">
        <v>3487.61</v>
      </c>
      <c r="AS5">
        <v>3570.82</v>
      </c>
      <c r="AT5">
        <v>3573.95</v>
      </c>
      <c r="AU5">
        <v>3580.94</v>
      </c>
      <c r="AV5">
        <v>3587.49</v>
      </c>
      <c r="AW5">
        <v>3592.79</v>
      </c>
      <c r="AX5">
        <v>3594.64</v>
      </c>
      <c r="AY5">
        <v>3585.29</v>
      </c>
    </row>
    <row r="6" spans="1:51" x14ac:dyDescent="0.3">
      <c r="A6" s="1" t="s">
        <v>30</v>
      </c>
      <c r="B6">
        <v>-0.19336397264880559</v>
      </c>
      <c r="C6">
        <v>-0.11009856275792949</v>
      </c>
      <c r="D6">
        <v>-1.5791357565457569E-2</v>
      </c>
      <c r="E6">
        <v>-1.9298990487342571E-2</v>
      </c>
      <c r="F6">
        <v>4.9120738776026072E-3</v>
      </c>
      <c r="G6">
        <v>0.57769182983711742</v>
      </c>
      <c r="H6">
        <v>3.4616342843908918</v>
      </c>
      <c r="I6">
        <v>8.2059361195223826</v>
      </c>
      <c r="J6">
        <v>9.5319821005527814</v>
      </c>
      <c r="K6">
        <v>10.01203986141874</v>
      </c>
      <c r="L6">
        <v>11.19538664570114</v>
      </c>
      <c r="M6">
        <v>12.275924028243759</v>
      </c>
      <c r="N6">
        <v>16.980906921241061</v>
      </c>
      <c r="O6">
        <v>18.964494445126981</v>
      </c>
      <c r="P6">
        <v>20.021690222903889</v>
      </c>
      <c r="Q6">
        <v>20.891153740866301</v>
      </c>
      <c r="R6">
        <v>22.496193329731319</v>
      </c>
      <c r="S6">
        <v>22.896085814085762</v>
      </c>
      <c r="T6">
        <v>19.321272800037981</v>
      </c>
      <c r="U6">
        <v>12.70542303850992</v>
      </c>
      <c r="V6">
        <v>10.467053741941269</v>
      </c>
      <c r="W6">
        <v>9.5261797645256987</v>
      </c>
      <c r="X6">
        <v>9.0420411036302646</v>
      </c>
      <c r="Y6">
        <v>8.5487984796579219</v>
      </c>
      <c r="Z6">
        <v>3.7947567071304711</v>
      </c>
      <c r="AA6">
        <v>1.7358488339155871</v>
      </c>
      <c r="AB6">
        <v>0.3833703252068219</v>
      </c>
      <c r="AC6">
        <v>-0.98443941241362876</v>
      </c>
      <c r="AD6">
        <v>-2.5774317907122022</v>
      </c>
      <c r="AE6">
        <v>-3.974593042900505</v>
      </c>
      <c r="AF6">
        <v>-4.0404873029498569</v>
      </c>
      <c r="AG6">
        <v>-2.8388526052305898</v>
      </c>
      <c r="AH6">
        <v>-1.9164612037708531</v>
      </c>
      <c r="AI6">
        <v>-1.503498744413944</v>
      </c>
      <c r="AJ6">
        <v>-2.1345761387156141</v>
      </c>
      <c r="AK6">
        <v>-2.6445671767287342</v>
      </c>
      <c r="AL6">
        <v>-2.2711374476080399</v>
      </c>
      <c r="AM6">
        <v>-1.2561087022723629</v>
      </c>
      <c r="AN6">
        <v>-0.43725493623244771</v>
      </c>
      <c r="AO6">
        <v>0.28645230144047051</v>
      </c>
      <c r="AP6">
        <v>1.3749937527010381</v>
      </c>
      <c r="AQ6">
        <v>2.5036296272202838</v>
      </c>
      <c r="AR6">
        <v>3.3062894143643899</v>
      </c>
      <c r="AS6">
        <v>5.7384743398785307</v>
      </c>
      <c r="AT6">
        <v>5.6934492211874863</v>
      </c>
      <c r="AU6">
        <v>5.9120687360435316</v>
      </c>
      <c r="AV6">
        <v>6.11332787113147</v>
      </c>
      <c r="AW6">
        <v>6.2660088614408984</v>
      </c>
      <c r="AX6">
        <v>6.3210418435164302</v>
      </c>
      <c r="AY6">
        <v>5.305994172658492</v>
      </c>
    </row>
    <row r="7" spans="1:51" x14ac:dyDescent="0.3">
      <c r="A7" s="1" t="s">
        <v>31</v>
      </c>
      <c r="B7">
        <v>4.6334160561896792E-2</v>
      </c>
      <c r="C7">
        <v>-3.790644128713172E-2</v>
      </c>
      <c r="D7">
        <v>-3.7901652231281752E-2</v>
      </c>
      <c r="E7">
        <v>1.965463989896496E-2</v>
      </c>
      <c r="F7">
        <v>0.19797462133847821</v>
      </c>
      <c r="G7">
        <v>2.319239368105543</v>
      </c>
      <c r="H7">
        <v>13.91480132241149</v>
      </c>
      <c r="I7">
        <v>32.785780946299617</v>
      </c>
      <c r="J7">
        <v>35.608379016864831</v>
      </c>
      <c r="K7">
        <v>25.184672676583691</v>
      </c>
      <c r="L7">
        <v>10.922603992373251</v>
      </c>
      <c r="M7">
        <v>10.05370349008601</v>
      </c>
      <c r="N7">
        <v>25.387830637184528</v>
      </c>
      <c r="O7">
        <v>27.907035469320601</v>
      </c>
      <c r="P7">
        <v>27.554949863719319</v>
      </c>
      <c r="Q7">
        <v>13.390858740721621</v>
      </c>
      <c r="R7">
        <v>12.078651685393281</v>
      </c>
      <c r="S7">
        <v>11.954369866098171</v>
      </c>
      <c r="T7">
        <v>8.5397433664286098</v>
      </c>
      <c r="U7">
        <v>-1.805548395227236</v>
      </c>
      <c r="V7">
        <v>-8.4466490813119037</v>
      </c>
      <c r="W7">
        <v>-9.7187718510349246</v>
      </c>
      <c r="X7">
        <v>-2.4340420634691879</v>
      </c>
      <c r="Y7">
        <v>2.933139956490233</v>
      </c>
      <c r="Z7">
        <v>3.1276036659616908</v>
      </c>
      <c r="AA7">
        <v>-0.76420952077698845</v>
      </c>
      <c r="AB7">
        <v>-4.6072598897713073</v>
      </c>
      <c r="AC7">
        <v>-5.6435901141783429</v>
      </c>
      <c r="AD7">
        <v>-5.3921895619136029</v>
      </c>
      <c r="AE7">
        <v>-5.9298877294787697</v>
      </c>
      <c r="AF7">
        <v>-4.0695577727674186</v>
      </c>
      <c r="AG7">
        <v>-2.8740515130222639</v>
      </c>
      <c r="AH7">
        <v>-5.4407446723581949E-2</v>
      </c>
      <c r="AI7">
        <v>0.59952784220337152</v>
      </c>
      <c r="AJ7">
        <v>0.44773069827626583</v>
      </c>
      <c r="AK7">
        <v>-5.7963642600885629E-2</v>
      </c>
      <c r="AL7">
        <v>-1.419677319180084E-2</v>
      </c>
      <c r="AM7">
        <v>2.819442677938119</v>
      </c>
      <c r="AN7">
        <v>4.3573680692351742</v>
      </c>
      <c r="AO7">
        <v>4.6768196916233347</v>
      </c>
      <c r="AP7">
        <v>5.1224211664081851</v>
      </c>
      <c r="AQ7">
        <v>5.7101560374162057</v>
      </c>
      <c r="AR7">
        <v>7.8527449524333086</v>
      </c>
      <c r="AS7">
        <v>14.21942788205002</v>
      </c>
      <c r="AT7">
        <v>12.391535124157651</v>
      </c>
      <c r="AU7">
        <v>10.704178506197641</v>
      </c>
      <c r="AV7">
        <v>1.867358197836869</v>
      </c>
      <c r="AW7">
        <v>2.1085913345178469</v>
      </c>
      <c r="AX7">
        <v>1.530324439951501</v>
      </c>
      <c r="AY7">
        <v>-0.24529685100165499</v>
      </c>
    </row>
    <row r="8" spans="1:51" x14ac:dyDescent="0.3">
      <c r="A8" s="1" t="s">
        <v>32</v>
      </c>
      <c r="B8">
        <v>-9.8263542821918418E-3</v>
      </c>
      <c r="C8">
        <v>-1.2284149936821181E-2</v>
      </c>
      <c r="D8">
        <v>1.26366779577769E-2</v>
      </c>
      <c r="E8">
        <v>4.5626682483954897E-3</v>
      </c>
      <c r="F8">
        <v>3.2288179016897692E-2</v>
      </c>
      <c r="G8">
        <v>0.54275750282429669</v>
      </c>
      <c r="H8">
        <v>2.886873501690669</v>
      </c>
      <c r="I8">
        <v>4.5929061272664402</v>
      </c>
      <c r="J8">
        <v>1.198490213626991</v>
      </c>
      <c r="K8">
        <v>0.4248856077209906</v>
      </c>
      <c r="L8">
        <v>1.0845218723078469</v>
      </c>
      <c r="M8">
        <v>0.98450485939477894</v>
      </c>
      <c r="N8">
        <v>4.1803155710034687</v>
      </c>
      <c r="O8">
        <v>1.6831582168723831</v>
      </c>
      <c r="P8">
        <v>0.9014139363610667</v>
      </c>
      <c r="Q8">
        <v>0.72901771223538636</v>
      </c>
      <c r="R8">
        <v>1.360390175927543</v>
      </c>
      <c r="S8">
        <v>0.87098233976616812</v>
      </c>
      <c r="T8">
        <v>-0.10590964459222001</v>
      </c>
      <c r="U8">
        <v>-1.2063192482391281</v>
      </c>
      <c r="V8">
        <v>-0.81134735448973794</v>
      </c>
      <c r="W8">
        <v>-0.43045685279188239</v>
      </c>
      <c r="X8">
        <v>0.63769787861309679</v>
      </c>
      <c r="Y8">
        <v>0.52770983196074794</v>
      </c>
      <c r="Z8">
        <v>-0.38240257085102419</v>
      </c>
      <c r="AA8">
        <v>-0.33386327503975088</v>
      </c>
      <c r="AB8">
        <v>-0.43997157731404513</v>
      </c>
      <c r="AC8">
        <v>-0.64350176824614869</v>
      </c>
      <c r="AD8">
        <v>-0.27032653216798519</v>
      </c>
      <c r="AE8">
        <v>-0.57563347611473648</v>
      </c>
      <c r="AF8">
        <v>-0.1744586606897354</v>
      </c>
      <c r="AG8">
        <v>3.0805778453147619E-2</v>
      </c>
      <c r="AH8">
        <v>0.13029200214388489</v>
      </c>
      <c r="AI8">
        <v>-1.123784907567669E-2</v>
      </c>
      <c r="AJ8">
        <v>-7.0983865958869716E-3</v>
      </c>
      <c r="AK8">
        <v>3.845232355562991E-3</v>
      </c>
      <c r="AL8">
        <v>-2.9577573101617529E-4</v>
      </c>
      <c r="AM8">
        <v>0.70128633245882166</v>
      </c>
      <c r="AN8">
        <v>0.38565017153062031</v>
      </c>
      <c r="AO8">
        <v>7.870629094409673E-2</v>
      </c>
      <c r="AP8">
        <v>0.81217146231792636</v>
      </c>
      <c r="AQ8">
        <v>0.5312855253694686</v>
      </c>
      <c r="AR8">
        <v>0.60723022246838887</v>
      </c>
      <c r="AS8">
        <v>2.385874567397158</v>
      </c>
      <c r="AT8">
        <v>8.7654936401153072E-2</v>
      </c>
      <c r="AU8">
        <v>0.19558191916507611</v>
      </c>
      <c r="AV8">
        <v>0.18291286645405189</v>
      </c>
      <c r="AW8">
        <v>0.1477356034441959</v>
      </c>
      <c r="AX8">
        <v>5.1492015954172361E-2</v>
      </c>
      <c r="AY8">
        <v>-0.26010949636124647</v>
      </c>
    </row>
    <row r="9" spans="1:51" x14ac:dyDescent="0.3">
      <c r="A9" s="1" t="s">
        <v>105</v>
      </c>
      <c r="B9">
        <v>440.8</v>
      </c>
      <c r="C9">
        <v>445.78</v>
      </c>
      <c r="D9">
        <v>447.19</v>
      </c>
      <c r="E9">
        <v>446.96</v>
      </c>
      <c r="F9">
        <v>448.08</v>
      </c>
      <c r="G9">
        <v>454.1</v>
      </c>
      <c r="H9">
        <v>464.78</v>
      </c>
      <c r="I9">
        <v>468.23</v>
      </c>
      <c r="J9">
        <v>468.63</v>
      </c>
      <c r="K9">
        <v>468.09</v>
      </c>
      <c r="L9">
        <v>470.8</v>
      </c>
      <c r="M9">
        <v>462.78</v>
      </c>
      <c r="N9">
        <v>462.55</v>
      </c>
      <c r="O9">
        <v>467.72</v>
      </c>
      <c r="P9">
        <v>477.31</v>
      </c>
      <c r="Q9">
        <v>495.4</v>
      </c>
      <c r="R9">
        <v>517.05999999999995</v>
      </c>
      <c r="S9">
        <v>507.21</v>
      </c>
      <c r="T9">
        <v>512.27</v>
      </c>
      <c r="U9">
        <v>502</v>
      </c>
      <c r="V9">
        <v>485</v>
      </c>
      <c r="W9">
        <v>472.8</v>
      </c>
      <c r="X9">
        <v>483.32</v>
      </c>
      <c r="Y9">
        <v>476.4</v>
      </c>
      <c r="Z9">
        <v>473.81</v>
      </c>
      <c r="AA9">
        <v>471.14</v>
      </c>
      <c r="AB9">
        <v>481.35</v>
      </c>
      <c r="AC9">
        <v>480.01</v>
      </c>
      <c r="AD9">
        <v>473.67</v>
      </c>
      <c r="AE9">
        <v>470.14</v>
      </c>
      <c r="AF9">
        <v>467.31</v>
      </c>
      <c r="AG9">
        <v>466.01</v>
      </c>
      <c r="AH9">
        <v>466.85</v>
      </c>
      <c r="AI9">
        <v>465.14</v>
      </c>
      <c r="AJ9">
        <v>468.13</v>
      </c>
      <c r="AK9">
        <v>477.15</v>
      </c>
      <c r="AL9">
        <v>482.1</v>
      </c>
      <c r="AM9">
        <v>478.31</v>
      </c>
      <c r="AN9">
        <v>472.56</v>
      </c>
      <c r="AO9">
        <v>468.6</v>
      </c>
      <c r="AP9">
        <v>475.53</v>
      </c>
      <c r="AQ9">
        <v>475.9</v>
      </c>
      <c r="AR9">
        <v>480.91</v>
      </c>
      <c r="AS9">
        <v>491.58</v>
      </c>
      <c r="AT9">
        <v>496.64</v>
      </c>
      <c r="AU9">
        <v>499.76</v>
      </c>
      <c r="AV9">
        <v>498.81</v>
      </c>
      <c r="AW9">
        <v>503.9</v>
      </c>
      <c r="AX9">
        <v>505.01</v>
      </c>
      <c r="AY9">
        <v>503.93</v>
      </c>
    </row>
    <row r="10" spans="1:51" x14ac:dyDescent="0.3">
      <c r="A10" s="1" t="s">
        <v>106</v>
      </c>
      <c r="B10">
        <v>5.1326082808624403</v>
      </c>
      <c r="C10">
        <v>4.6726777496008216</v>
      </c>
      <c r="D10">
        <v>3.339187502888568</v>
      </c>
      <c r="E10">
        <v>2.4597116200169551</v>
      </c>
      <c r="F10">
        <v>1.584710603278245</v>
      </c>
      <c r="G10">
        <v>3.0569865873862492</v>
      </c>
      <c r="H10">
        <v>6.9837031580885673</v>
      </c>
      <c r="I10">
        <v>6.3844773135210096</v>
      </c>
      <c r="J10">
        <v>4.6679918701002787</v>
      </c>
      <c r="K10">
        <v>6.1211997551520101</v>
      </c>
      <c r="L10">
        <v>6.6920479525007428</v>
      </c>
      <c r="M10">
        <v>4.9197424503491414</v>
      </c>
      <c r="N10">
        <v>4.9342105263157894</v>
      </c>
      <c r="O10">
        <v>4.9217102606667087</v>
      </c>
      <c r="P10">
        <v>6.7353921152083016</v>
      </c>
      <c r="Q10">
        <v>10.837658850903891</v>
      </c>
      <c r="R10">
        <v>15.394572397786099</v>
      </c>
      <c r="S10">
        <v>11.69566174851353</v>
      </c>
      <c r="T10">
        <v>10.21773742415767</v>
      </c>
      <c r="U10">
        <v>7.2122674753860236</v>
      </c>
      <c r="V10">
        <v>3.4931609158611279</v>
      </c>
      <c r="W10">
        <v>1.0062167531884969</v>
      </c>
      <c r="X10">
        <v>2.659303313508917</v>
      </c>
      <c r="Y10">
        <v>2.9430831064436682</v>
      </c>
      <c r="Z10">
        <v>2.4343314236298759</v>
      </c>
      <c r="AA10">
        <v>0.73120670486615047</v>
      </c>
      <c r="AB10">
        <v>0.84641008987869948</v>
      </c>
      <c r="AC10">
        <v>-3.106580540976986</v>
      </c>
      <c r="AD10">
        <v>-8.3916760143890325</v>
      </c>
      <c r="AE10">
        <v>-7.3086098460203841</v>
      </c>
      <c r="AF10">
        <v>-8.7766217033985949</v>
      </c>
      <c r="AG10">
        <v>-7.1693227091633487</v>
      </c>
      <c r="AH10">
        <v>-3.742268041237109</v>
      </c>
      <c r="AI10">
        <v>-1.620135363790191</v>
      </c>
      <c r="AJ10">
        <v>-3.1428453198708932</v>
      </c>
      <c r="AK10">
        <v>0.15743073047858941</v>
      </c>
      <c r="AL10">
        <v>1.7496464827673579</v>
      </c>
      <c r="AM10">
        <v>1.5218406418474371</v>
      </c>
      <c r="AN10">
        <v>-1.8261140542225029</v>
      </c>
      <c r="AO10">
        <v>-2.3770338117955809</v>
      </c>
      <c r="AP10">
        <v>0.39267844702006821</v>
      </c>
      <c r="AQ10">
        <v>1.2251669715403899</v>
      </c>
      <c r="AR10">
        <v>2.9102736941216798</v>
      </c>
      <c r="AS10">
        <v>5.4870067165940624</v>
      </c>
      <c r="AT10">
        <v>6.3810645817714384</v>
      </c>
      <c r="AU10">
        <v>7.4429204110590366</v>
      </c>
      <c r="AV10">
        <v>6.553735073590671</v>
      </c>
      <c r="AW10">
        <v>5.6062034999476058</v>
      </c>
      <c r="AX10">
        <v>4.7521261149139118</v>
      </c>
      <c r="AY10">
        <v>5.3563588467730154</v>
      </c>
    </row>
    <row r="11" spans="1:51" x14ac:dyDescent="0.3">
      <c r="A11" s="1" t="s">
        <v>107</v>
      </c>
      <c r="B11">
        <v>-0.26298487836946077</v>
      </c>
      <c r="C11">
        <v>4.0881999682733836</v>
      </c>
      <c r="D11">
        <v>5.5409449532964663</v>
      </c>
      <c r="E11">
        <v>5.5898366606170304</v>
      </c>
      <c r="F11">
        <v>2.0637982861501292</v>
      </c>
      <c r="G11">
        <v>6.1808179968246382</v>
      </c>
      <c r="H11">
        <v>15.94773581528548</v>
      </c>
      <c r="I11">
        <v>17.987859310837379</v>
      </c>
      <c r="J11">
        <v>12.7989429641048</v>
      </c>
      <c r="K11">
        <v>2.8486595808769759</v>
      </c>
      <c r="L11">
        <v>2.1955022104521218</v>
      </c>
      <c r="M11">
        <v>-4.9932782792395054</v>
      </c>
      <c r="N11">
        <v>-4.7341323249802079</v>
      </c>
      <c r="O11">
        <v>-2.616822429906529</v>
      </c>
      <c r="P11">
        <v>12.55888327066859</v>
      </c>
      <c r="Q11">
        <v>28.407739703815771</v>
      </c>
      <c r="R11">
        <v>42.196185752159337</v>
      </c>
      <c r="S11">
        <v>25.057090779577191</v>
      </c>
      <c r="T11">
        <v>13.6213161081954</v>
      </c>
      <c r="U11">
        <v>-11.65048543689316</v>
      </c>
      <c r="V11">
        <v>-17.51542753494606</v>
      </c>
      <c r="W11">
        <v>-30.819684931774241</v>
      </c>
      <c r="X11">
        <v>-14.88446215139443</v>
      </c>
      <c r="Y11">
        <v>-7.0927835051546566</v>
      </c>
      <c r="Z11">
        <v>0.85448392554990771</v>
      </c>
      <c r="AA11">
        <v>-10.080278076636599</v>
      </c>
      <c r="AB11">
        <v>4.1561712846347989</v>
      </c>
      <c r="AC11">
        <v>5.2341655938034144</v>
      </c>
      <c r="AD11">
        <v>2.1479814917010058</v>
      </c>
      <c r="AE11">
        <v>-9.3154669159655441</v>
      </c>
      <c r="AF11">
        <v>-10.58311285181558</v>
      </c>
      <c r="AG11">
        <v>-6.468638503599573</v>
      </c>
      <c r="AH11">
        <v>-2.7991662058110038</v>
      </c>
      <c r="AI11">
        <v>-1.8574393871306121</v>
      </c>
      <c r="AJ11">
        <v>1.8197034398403511</v>
      </c>
      <c r="AK11">
        <v>8.8251044232622498</v>
      </c>
      <c r="AL11">
        <v>14.58485617233524</v>
      </c>
      <c r="AM11">
        <v>8.6984384679469429</v>
      </c>
      <c r="AN11">
        <v>-3.8478465891228959</v>
      </c>
      <c r="AO11">
        <v>-11.200995644057249</v>
      </c>
      <c r="AP11">
        <v>-2.3248520833769142</v>
      </c>
      <c r="AQ11">
        <v>2.8271542238022471</v>
      </c>
      <c r="AR11">
        <v>10.50789586000854</v>
      </c>
      <c r="AS11">
        <v>13.50072550627722</v>
      </c>
      <c r="AT11">
        <v>17.432233662534159</v>
      </c>
      <c r="AU11">
        <v>15.678609303195991</v>
      </c>
      <c r="AV11">
        <v>5.8830709141950592</v>
      </c>
      <c r="AW11">
        <v>5.8472938144329829</v>
      </c>
      <c r="AX11">
        <v>4.2020169681447097</v>
      </c>
      <c r="AY11">
        <v>4.1057717367334288</v>
      </c>
    </row>
    <row r="12" spans="1:51" x14ac:dyDescent="0.3">
      <c r="A12" s="1" t="s">
        <v>108</v>
      </c>
      <c r="B12">
        <v>-6.3480547746434371E-2</v>
      </c>
      <c r="C12">
        <v>1.1297640653357439</v>
      </c>
      <c r="D12">
        <v>0.31629951994257821</v>
      </c>
      <c r="E12">
        <v>-5.1432277108168382E-2</v>
      </c>
      <c r="F12">
        <v>0.25058170753535097</v>
      </c>
      <c r="G12">
        <v>1.3435100874843859</v>
      </c>
      <c r="H12">
        <v>2.3519048667694231</v>
      </c>
      <c r="I12">
        <v>0.74228667326478026</v>
      </c>
      <c r="J12">
        <v>8.5428101574007917E-2</v>
      </c>
      <c r="K12">
        <v>-0.1152294987516848</v>
      </c>
      <c r="L12">
        <v>0.5789484928112193</v>
      </c>
      <c r="M12">
        <v>-1.7034834324554029</v>
      </c>
      <c r="N12">
        <v>-4.9699641298232712E-2</v>
      </c>
      <c r="O12">
        <v>1.1177170035671851</v>
      </c>
      <c r="P12">
        <v>2.05037201744633</v>
      </c>
      <c r="Q12">
        <v>3.7899897341350428</v>
      </c>
      <c r="R12">
        <v>4.3722244650787179</v>
      </c>
      <c r="S12">
        <v>-1.9050013538080619</v>
      </c>
      <c r="T12">
        <v>0.99761440034699678</v>
      </c>
      <c r="U12">
        <v>-2.0048021551135111</v>
      </c>
      <c r="V12">
        <v>-3.3864541832669319</v>
      </c>
      <c r="W12">
        <v>-2.5154639175257709</v>
      </c>
      <c r="X12">
        <v>2.2250423011844291</v>
      </c>
      <c r="Y12">
        <v>-1.431763634858896</v>
      </c>
      <c r="Z12">
        <v>-0.54366078925272354</v>
      </c>
      <c r="AA12">
        <v>-0.56351702159093642</v>
      </c>
      <c r="AB12">
        <v>2.1670840938999101</v>
      </c>
      <c r="AC12">
        <v>-0.27838371247533639</v>
      </c>
      <c r="AD12">
        <v>-1.320805816545483</v>
      </c>
      <c r="AE12">
        <v>-0.74524457955961521</v>
      </c>
      <c r="AF12">
        <v>-0.6019483558089046</v>
      </c>
      <c r="AG12">
        <v>-0.27818792664398612</v>
      </c>
      <c r="AH12">
        <v>0.18025364262570159</v>
      </c>
      <c r="AI12">
        <v>-0.36628467387812708</v>
      </c>
      <c r="AJ12">
        <v>0.64281721632196953</v>
      </c>
      <c r="AK12">
        <v>1.926815200905728</v>
      </c>
      <c r="AL12">
        <v>1.0374096196164819</v>
      </c>
      <c r="AM12">
        <v>-0.78614395353661481</v>
      </c>
      <c r="AN12">
        <v>-1.202149233760532</v>
      </c>
      <c r="AO12">
        <v>-0.83798882681563813</v>
      </c>
      <c r="AP12">
        <v>1.4788732394366091</v>
      </c>
      <c r="AQ12">
        <v>7.7807919584464619E-2</v>
      </c>
      <c r="AR12">
        <v>1.052742172725373</v>
      </c>
      <c r="AS12">
        <v>2.2187103616061128</v>
      </c>
      <c r="AT12">
        <v>1.0293339842955369</v>
      </c>
      <c r="AU12">
        <v>0.62822164948453707</v>
      </c>
      <c r="AV12">
        <v>-0.1900912437970203</v>
      </c>
      <c r="AW12">
        <v>1.020428620115871</v>
      </c>
      <c r="AX12">
        <v>0.22028180194483299</v>
      </c>
      <c r="AY12">
        <v>-0.21385715134353461</v>
      </c>
    </row>
    <row r="13" spans="1:51" x14ac:dyDescent="0.3">
      <c r="A13" s="1" t="s">
        <v>33</v>
      </c>
      <c r="B13">
        <v>6</v>
      </c>
      <c r="C13">
        <v>6</v>
      </c>
      <c r="D13">
        <v>6</v>
      </c>
      <c r="E13">
        <v>6</v>
      </c>
      <c r="F13">
        <v>6.5</v>
      </c>
      <c r="G13">
        <v>6.5</v>
      </c>
      <c r="H13">
        <v>9</v>
      </c>
      <c r="I13">
        <v>9</v>
      </c>
      <c r="J13">
        <v>9</v>
      </c>
      <c r="K13">
        <v>10</v>
      </c>
      <c r="L13">
        <v>10</v>
      </c>
      <c r="M13">
        <v>10</v>
      </c>
      <c r="N13">
        <v>12</v>
      </c>
      <c r="O13">
        <v>12</v>
      </c>
      <c r="P13">
        <v>12</v>
      </c>
      <c r="Q13">
        <v>13</v>
      </c>
      <c r="R13">
        <v>13</v>
      </c>
      <c r="S13">
        <v>13</v>
      </c>
      <c r="T13">
        <v>13</v>
      </c>
      <c r="U13">
        <v>13</v>
      </c>
      <c r="V13">
        <v>13</v>
      </c>
      <c r="W13">
        <v>13</v>
      </c>
      <c r="X13">
        <v>13</v>
      </c>
      <c r="Y13">
        <v>13</v>
      </c>
      <c r="Z13">
        <v>13</v>
      </c>
      <c r="AA13">
        <v>13</v>
      </c>
      <c r="AB13">
        <v>13</v>
      </c>
      <c r="AC13">
        <v>13</v>
      </c>
      <c r="AD13">
        <v>13</v>
      </c>
      <c r="AE13">
        <v>13</v>
      </c>
      <c r="AF13">
        <v>12</v>
      </c>
      <c r="AG13">
        <v>12</v>
      </c>
      <c r="AH13">
        <v>11</v>
      </c>
      <c r="AI13">
        <v>11</v>
      </c>
      <c r="AJ13">
        <v>11</v>
      </c>
      <c r="AK13">
        <v>11</v>
      </c>
      <c r="AL13">
        <v>10</v>
      </c>
      <c r="AM13">
        <v>10</v>
      </c>
      <c r="AN13">
        <v>10</v>
      </c>
      <c r="AO13">
        <v>10</v>
      </c>
      <c r="AP13">
        <v>10</v>
      </c>
      <c r="AQ13">
        <v>10</v>
      </c>
      <c r="AR13">
        <v>11.715063861758081</v>
      </c>
      <c r="AS13">
        <v>12</v>
      </c>
      <c r="AT13">
        <v>12</v>
      </c>
      <c r="AU13">
        <v>12</v>
      </c>
      <c r="AV13">
        <v>12</v>
      </c>
      <c r="AW13">
        <v>12</v>
      </c>
      <c r="AX13">
        <v>12</v>
      </c>
      <c r="AY13">
        <v>12</v>
      </c>
    </row>
    <row r="14" spans="1:51" x14ac:dyDescent="0.3">
      <c r="A14" s="1" t="s">
        <v>34</v>
      </c>
      <c r="B14">
        <v>14.42669714654258</v>
      </c>
      <c r="C14">
        <v>14.342407389523521</v>
      </c>
      <c r="D14">
        <v>14.520909538676261</v>
      </c>
      <c r="E14">
        <v>14.28649946213949</v>
      </c>
      <c r="F14">
        <v>14.446541700622459</v>
      </c>
      <c r="G14">
        <v>14.306733816052571</v>
      </c>
      <c r="H14">
        <v>14.554578252341029</v>
      </c>
      <c r="I14">
        <v>14.613623742546009</v>
      </c>
      <c r="J14">
        <v>14.811109052331091</v>
      </c>
      <c r="K14">
        <v>14.61728511305402</v>
      </c>
      <c r="L14">
        <v>14.273976869636609</v>
      </c>
      <c r="M14">
        <v>14.73</v>
      </c>
      <c r="N14">
        <v>14.70301872088538</v>
      </c>
      <c r="O14">
        <v>15.12197793219373</v>
      </c>
      <c r="P14">
        <v>15.314050282293559</v>
      </c>
      <c r="Q14">
        <v>15.71565684936334</v>
      </c>
      <c r="R14">
        <v>16.066535998316819</v>
      </c>
      <c r="S14">
        <v>15.98606495886985</v>
      </c>
      <c r="T14">
        <v>16.694368007430519</v>
      </c>
      <c r="U14">
        <v>16.918513872919849</v>
      </c>
      <c r="V14">
        <v>16.90084790759618</v>
      </c>
      <c r="W14">
        <v>16.853427221589151</v>
      </c>
      <c r="X14">
        <v>16.317176683401609</v>
      </c>
      <c r="Y14">
        <v>16.435585425708052</v>
      </c>
      <c r="Z14">
        <v>16.811530003702419</v>
      </c>
      <c r="AA14">
        <v>16.670584488112588</v>
      </c>
      <c r="AB14">
        <v>16.621644639329489</v>
      </c>
      <c r="AC14">
        <v>16.73857615499422</v>
      </c>
      <c r="AD14">
        <v>16.972163810937332</v>
      </c>
      <c r="AE14">
        <v>17.00429961121819</v>
      </c>
      <c r="AF14">
        <v>17.03589930352118</v>
      </c>
      <c r="AG14">
        <v>17.151548448079751</v>
      </c>
      <c r="AH14">
        <v>16.873030230688791</v>
      </c>
      <c r="AI14">
        <v>17.087991926090609</v>
      </c>
      <c r="AJ14">
        <v>16.8303964741885</v>
      </c>
      <c r="AK14">
        <v>16.956524592714018</v>
      </c>
      <c r="AL14">
        <v>17.07234678199703</v>
      </c>
      <c r="AM14">
        <v>17.027611685109139</v>
      </c>
      <c r="AN14">
        <v>17.003197566495778</v>
      </c>
      <c r="AO14">
        <v>16.912678651127429</v>
      </c>
      <c r="AP14">
        <v>16.942319097855339</v>
      </c>
      <c r="AQ14">
        <v>17.06170860736405</v>
      </c>
      <c r="AR14">
        <v>16.953088146593188</v>
      </c>
      <c r="AS14">
        <v>17.19992136354805</v>
      </c>
      <c r="AT14">
        <v>17.17770418806613</v>
      </c>
      <c r="AU14">
        <v>17.272560229151559</v>
      </c>
      <c r="AV14">
        <v>17.098680308978981</v>
      </c>
      <c r="AW14">
        <v>17.028505082775659</v>
      </c>
      <c r="AX14">
        <v>17.260007793310692</v>
      </c>
      <c r="AY14">
        <v>17.359140159760319</v>
      </c>
    </row>
    <row r="15" spans="1:51" x14ac:dyDescent="0.3">
      <c r="A15" s="1" t="s">
        <v>35</v>
      </c>
      <c r="B15">
        <v>7.388996852917785</v>
      </c>
      <c r="C15">
        <v>7.4530290027577593</v>
      </c>
      <c r="D15">
        <v>6.725956156866471</v>
      </c>
      <c r="E15">
        <v>6.2153547132736557</v>
      </c>
      <c r="F15">
        <v>7.6185507169066948</v>
      </c>
      <c r="G15">
        <v>6.6877441274630254</v>
      </c>
      <c r="H15">
        <v>6.913747512679338</v>
      </c>
      <c r="I15">
        <v>8.0157942644161757</v>
      </c>
      <c r="J15">
        <v>7.8277062855596258</v>
      </c>
      <c r="K15">
        <v>7.6876546998965036</v>
      </c>
      <c r="L15">
        <v>8.4181826118198391</v>
      </c>
      <c r="M15">
        <v>9.3021888058380995</v>
      </c>
      <c r="N15">
        <v>8.9627570785486501</v>
      </c>
      <c r="O15">
        <v>11.46458026646998</v>
      </c>
      <c r="P15">
        <v>11.150133323317871</v>
      </c>
      <c r="Q15">
        <v>11.083483500345279</v>
      </c>
      <c r="R15">
        <v>10.8515905292172</v>
      </c>
      <c r="S15">
        <v>11.02072283015158</v>
      </c>
      <c r="T15">
        <v>10.717107496779869</v>
      </c>
      <c r="U15">
        <v>10.99585787518488</v>
      </c>
      <c r="V15">
        <v>11.43866872223437</v>
      </c>
      <c r="W15">
        <v>11.104865824022029</v>
      </c>
      <c r="X15">
        <v>11.098183286296329</v>
      </c>
      <c r="Y15">
        <v>11.202081609148919</v>
      </c>
      <c r="Z15">
        <v>11.119327228134811</v>
      </c>
      <c r="AA15">
        <v>12.07584856104722</v>
      </c>
      <c r="AB15">
        <v>11.782475301203799</v>
      </c>
      <c r="AC15">
        <v>11.789334173386029</v>
      </c>
      <c r="AD15">
        <v>11.62864302859421</v>
      </c>
      <c r="AE15">
        <v>11.56843514182129</v>
      </c>
      <c r="AF15">
        <v>12.042557799165669</v>
      </c>
      <c r="AG15">
        <v>11.58862074201291</v>
      </c>
      <c r="AH15">
        <v>11.66258140339626</v>
      </c>
      <c r="AI15">
        <v>11.86976006314389</v>
      </c>
      <c r="AJ15">
        <v>11.488279697243311</v>
      </c>
      <c r="AK15">
        <v>11.71316639678674</v>
      </c>
      <c r="AL15">
        <v>11.743307175103171</v>
      </c>
      <c r="AM15">
        <v>12.27471740311611</v>
      </c>
      <c r="AN15">
        <v>11.992026782731941</v>
      </c>
      <c r="AO15">
        <v>12.13180013571343</v>
      </c>
      <c r="AP15">
        <v>11.74143209089597</v>
      </c>
      <c r="AQ15">
        <v>11.54412090326284</v>
      </c>
      <c r="AR15">
        <v>11.794109889209199</v>
      </c>
      <c r="AS15">
        <v>12.29874921904254</v>
      </c>
      <c r="AT15">
        <v>12.22722218140188</v>
      </c>
      <c r="AU15">
        <v>12.154919249242569</v>
      </c>
      <c r="AV15">
        <v>11.66490388052037</v>
      </c>
      <c r="AW15">
        <v>11.9824503772026</v>
      </c>
      <c r="AX15">
        <v>12.20595930563152</v>
      </c>
      <c r="AY15">
        <v>12.57387038656678</v>
      </c>
    </row>
    <row r="16" spans="1:51" x14ac:dyDescent="0.3">
      <c r="A16" s="1" t="s">
        <v>36</v>
      </c>
      <c r="B16">
        <v>20.210906565365679</v>
      </c>
      <c r="C16">
        <v>18.811096269687429</v>
      </c>
      <c r="D16">
        <v>15.862027524855691</v>
      </c>
      <c r="E16">
        <v>13.817914802333361</v>
      </c>
      <c r="F16">
        <v>9.4981982735120436</v>
      </c>
      <c r="G16">
        <v>5.4035732928048876</v>
      </c>
      <c r="H16">
        <v>4.12730567852579</v>
      </c>
      <c r="I16">
        <v>1.441590635881344</v>
      </c>
      <c r="J16">
        <v>1.1892339781286809</v>
      </c>
      <c r="K16">
        <v>-1.210365400895534</v>
      </c>
      <c r="L16">
        <v>-1.3820405917098779</v>
      </c>
      <c r="M16">
        <v>-1.704452128923343</v>
      </c>
      <c r="N16">
        <v>0.75410210551871459</v>
      </c>
      <c r="O16">
        <v>0.72837126545076747</v>
      </c>
      <c r="P16">
        <v>0.33350701633293861</v>
      </c>
      <c r="Q16">
        <v>6.4648482371675398</v>
      </c>
      <c r="R16">
        <v>10.87943490996633</v>
      </c>
      <c r="S16">
        <v>15.234161903021549</v>
      </c>
      <c r="T16">
        <v>16.824288693041058</v>
      </c>
      <c r="U16">
        <v>10.032654100772559</v>
      </c>
      <c r="V16">
        <v>10.880763341279771</v>
      </c>
      <c r="W16">
        <v>13.796525860722159</v>
      </c>
      <c r="X16">
        <v>18.453681183100741</v>
      </c>
      <c r="Y16">
        <v>21.145398695712259</v>
      </c>
      <c r="Z16">
        <v>20.928834991418739</v>
      </c>
      <c r="AA16">
        <v>23.584990577887361</v>
      </c>
      <c r="AB16">
        <v>29.48069126816657</v>
      </c>
      <c r="AC16">
        <v>26.830691873024271</v>
      </c>
      <c r="AD16">
        <v>26.058901784751029</v>
      </c>
      <c r="AE16">
        <v>24.25977929664182</v>
      </c>
      <c r="AF16">
        <v>20.884643505666268</v>
      </c>
      <c r="AG16">
        <v>26.300492788846729</v>
      </c>
      <c r="AH16">
        <v>28.13298869327102</v>
      </c>
      <c r="AI16">
        <v>31.858879457760679</v>
      </c>
      <c r="AJ16">
        <v>30.398273466167218</v>
      </c>
      <c r="AK16">
        <v>27.337543313436651</v>
      </c>
      <c r="AL16">
        <v>25.871003841278782</v>
      </c>
      <c r="AM16">
        <v>25.116270367772689</v>
      </c>
      <c r="AN16">
        <v>17.239664194831139</v>
      </c>
      <c r="AO16">
        <v>15.17612709212051</v>
      </c>
      <c r="AP16">
        <v>11.630156568622381</v>
      </c>
      <c r="AQ16">
        <v>11.25705839066778</v>
      </c>
      <c r="AR16">
        <v>10.91755299220439</v>
      </c>
      <c r="AS16">
        <v>8.8694371452236442</v>
      </c>
      <c r="AT16">
        <v>6.3367989520352213</v>
      </c>
      <c r="AU16">
        <v>3.6945069787764342</v>
      </c>
      <c r="AV16">
        <v>3.183103807673151</v>
      </c>
      <c r="AW16">
        <v>6.5458169220721016</v>
      </c>
      <c r="AX16">
        <v>5.5599995668752857</v>
      </c>
      <c r="AY16">
        <v>6.8270838833138203</v>
      </c>
    </row>
    <row r="17" spans="1:51" x14ac:dyDescent="0.3">
      <c r="A17" s="1" t="s">
        <v>37</v>
      </c>
      <c r="B17">
        <v>-10.24620457528663</v>
      </c>
      <c r="C17">
        <v>-4.9565787284716816</v>
      </c>
      <c r="D17">
        <v>-2.3358717506390159</v>
      </c>
      <c r="E17">
        <v>8.8922851864313905</v>
      </c>
      <c r="F17">
        <v>-3.9025757146932092</v>
      </c>
      <c r="G17">
        <v>-14.533445014143121</v>
      </c>
      <c r="H17">
        <v>-19.81558029620189</v>
      </c>
      <c r="I17">
        <v>9.3695184463610541</v>
      </c>
      <c r="J17">
        <v>18.903274239456788</v>
      </c>
      <c r="K17">
        <v>17.40510822975882</v>
      </c>
      <c r="L17">
        <v>-5.8753273569108746</v>
      </c>
      <c r="M17">
        <v>-8.1165354609702494</v>
      </c>
      <c r="N17">
        <v>-2.4958098125104069</v>
      </c>
      <c r="O17">
        <v>3.4973005177324068</v>
      </c>
      <c r="P17">
        <v>5.9088887136812414</v>
      </c>
      <c r="Q17">
        <v>32.068314619396382</v>
      </c>
      <c r="R17">
        <v>36.014779374398238</v>
      </c>
      <c r="S17">
        <v>42.71267621702281</v>
      </c>
      <c r="T17">
        <v>17.177830424665249</v>
      </c>
      <c r="U17">
        <v>6.2431835009245962</v>
      </c>
      <c r="V17">
        <v>3.0776468259670131</v>
      </c>
      <c r="W17">
        <v>6.5871209185859767</v>
      </c>
      <c r="X17">
        <v>24.287850740216211</v>
      </c>
      <c r="Y17">
        <v>28.161541490428849</v>
      </c>
      <c r="Z17">
        <v>22.41815609040604</v>
      </c>
      <c r="AA17">
        <v>20.97644906118067</v>
      </c>
      <c r="AB17">
        <v>33.837059173432067</v>
      </c>
      <c r="AC17">
        <v>53.155141066877967</v>
      </c>
      <c r="AD17">
        <v>44.742876888575758</v>
      </c>
      <c r="AE17">
        <v>24.861644618649869</v>
      </c>
      <c r="AF17">
        <v>-2.380208097886765</v>
      </c>
      <c r="AG17">
        <v>7.0217457223899693</v>
      </c>
      <c r="AH17">
        <v>15.64168112648272</v>
      </c>
      <c r="AI17">
        <v>43.498203010118601</v>
      </c>
      <c r="AJ17">
        <v>38.053739676942797</v>
      </c>
      <c r="AK17">
        <v>25.50352872201827</v>
      </c>
      <c r="AL17">
        <v>3.2356225574766402</v>
      </c>
      <c r="AM17">
        <v>3.9240844156532662</v>
      </c>
      <c r="AN17">
        <v>-0.56626027746515561</v>
      </c>
      <c r="AO17">
        <v>14.65192559980372</v>
      </c>
      <c r="AP17">
        <v>-3.1953571352682539</v>
      </c>
      <c r="AQ17">
        <v>3.1814414338476111</v>
      </c>
      <c r="AR17">
        <v>-17.081981721982</v>
      </c>
      <c r="AS17">
        <v>-3.0442872717562719</v>
      </c>
      <c r="AT17">
        <v>-2.739758525378686</v>
      </c>
      <c r="AU17">
        <v>14.617220327063521</v>
      </c>
      <c r="AV17">
        <v>15.17386035653292</v>
      </c>
      <c r="AW17">
        <v>26.33990789360799</v>
      </c>
      <c r="AX17">
        <v>10.489941875397321</v>
      </c>
      <c r="AY17">
        <v>18.18893264531647</v>
      </c>
    </row>
    <row r="18" spans="1:51" x14ac:dyDescent="0.3">
      <c r="A18" s="1" t="s">
        <v>38</v>
      </c>
      <c r="B18">
        <v>-0.56117103165025117</v>
      </c>
      <c r="C18">
        <v>-0.68265386842211317</v>
      </c>
      <c r="D18">
        <v>0.66426292739488346</v>
      </c>
      <c r="E18">
        <v>2.2465118795803218</v>
      </c>
      <c r="F18">
        <v>-3.7904445381408989</v>
      </c>
      <c r="G18">
        <v>-2.0374679011695922</v>
      </c>
      <c r="H18">
        <v>0.84540482922575289</v>
      </c>
      <c r="I18">
        <v>3.595143167741599</v>
      </c>
      <c r="J18">
        <v>0.2439693231945492</v>
      </c>
      <c r="K18">
        <v>0.48474124161432203</v>
      </c>
      <c r="L18">
        <v>-2.182792966861002</v>
      </c>
      <c r="M18">
        <v>-0.32607262552069177</v>
      </c>
      <c r="N18">
        <v>1.925978786658382</v>
      </c>
      <c r="O18">
        <v>-0.7080177860778748</v>
      </c>
      <c r="P18">
        <v>0.26964998871174739</v>
      </c>
      <c r="Q18">
        <v>8.4947560765241548</v>
      </c>
      <c r="R18">
        <v>0.19890432554860291</v>
      </c>
      <c r="S18">
        <v>1.8099550513843481</v>
      </c>
      <c r="T18">
        <v>2.236979838069638</v>
      </c>
      <c r="U18">
        <v>-2.4274088700261469</v>
      </c>
      <c r="V18">
        <v>1.016629379274439</v>
      </c>
      <c r="W18">
        <v>3.1271260291935219</v>
      </c>
      <c r="X18">
        <v>1.820404168631055</v>
      </c>
      <c r="Y18">
        <v>1.938897556789954</v>
      </c>
      <c r="Z18">
        <v>1.743772382061666</v>
      </c>
      <c r="AA18">
        <v>1.4728926085998459</v>
      </c>
      <c r="AB18">
        <v>5.0530775059872637</v>
      </c>
      <c r="AC18">
        <v>6.2742625406699339</v>
      </c>
      <c r="AD18">
        <v>-0.4108260171015698</v>
      </c>
      <c r="AE18">
        <v>0.35691542424957973</v>
      </c>
      <c r="AF18">
        <v>-0.53997415111260316</v>
      </c>
      <c r="AG18">
        <v>1.9440185702554511</v>
      </c>
      <c r="AH18">
        <v>2.482281298192476</v>
      </c>
      <c r="AI18">
        <v>6.1258885677021766</v>
      </c>
      <c r="AJ18">
        <v>0.69253554873420009</v>
      </c>
      <c r="AK18">
        <v>-0.45382934974483891</v>
      </c>
      <c r="AL18">
        <v>0.57199495992889204</v>
      </c>
      <c r="AM18">
        <v>0.8644523295203923</v>
      </c>
      <c r="AN18">
        <v>-1.5604645724161801</v>
      </c>
      <c r="AO18">
        <v>4.4037276383228594</v>
      </c>
      <c r="AP18">
        <v>-3.4769151826144462</v>
      </c>
      <c r="AQ18">
        <v>2.1495467484451851E-2</v>
      </c>
      <c r="AR18">
        <v>-0.84348042923506994</v>
      </c>
      <c r="AS18">
        <v>6.1600915826002627E-2</v>
      </c>
      <c r="AT18">
        <v>9.8228008795368998E-2</v>
      </c>
      <c r="AU18">
        <v>3.4888373654755469</v>
      </c>
      <c r="AV18">
        <v>0.19593757564588291</v>
      </c>
      <c r="AW18">
        <v>2.790356967404072</v>
      </c>
      <c r="AX18">
        <v>-0.35854948510342649</v>
      </c>
      <c r="AY18">
        <v>2.0751738732613072</v>
      </c>
    </row>
    <row r="19" spans="1:51" x14ac:dyDescent="0.3">
      <c r="A19" s="1" t="s">
        <v>39</v>
      </c>
      <c r="B19">
        <v>27.257522383157429</v>
      </c>
      <c r="C19">
        <v>27.071447852172781</v>
      </c>
      <c r="D19">
        <v>27.251273444163811</v>
      </c>
      <c r="E19">
        <v>27.863476539423861</v>
      </c>
      <c r="F19">
        <v>26.807326914799098</v>
      </c>
      <c r="G19">
        <v>26.26113623374847</v>
      </c>
      <c r="H19">
        <v>26.483149147678141</v>
      </c>
      <c r="I19">
        <v>27.435256274863701</v>
      </c>
      <c r="J19">
        <v>27.502189883914181</v>
      </c>
      <c r="K19">
        <v>27.635504340628589</v>
      </c>
      <c r="L19">
        <v>27.032278495524789</v>
      </c>
      <c r="M19">
        <v>26.94413363529636</v>
      </c>
      <c r="N19">
        <v>27.463071933361061</v>
      </c>
      <c r="O19">
        <v>27.2686284994695</v>
      </c>
      <c r="P19">
        <v>27.342158353140171</v>
      </c>
      <c r="Q19">
        <v>29.664808011296401</v>
      </c>
      <c r="R19">
        <v>29.723812597596559</v>
      </c>
      <c r="S19">
        <v>30.261800245170772</v>
      </c>
      <c r="T19">
        <v>30.93875061529215</v>
      </c>
      <c r="U19">
        <v>30.187740638581278</v>
      </c>
      <c r="V19">
        <v>30.494638078852269</v>
      </c>
      <c r="W19">
        <v>31.44824384372442</v>
      </c>
      <c r="X19">
        <v>32.020728985616827</v>
      </c>
      <c r="Y19">
        <v>32.64157811758529</v>
      </c>
      <c r="Z19">
        <v>33.210772941868832</v>
      </c>
      <c r="AA19">
        <v>33.699931961788486</v>
      </c>
      <c r="AB19">
        <v>35.402815643282644</v>
      </c>
      <c r="AC19">
        <v>37.624081243531563</v>
      </c>
      <c r="AD19">
        <v>37.469511729087692</v>
      </c>
      <c r="AE19">
        <v>37.603246195839823</v>
      </c>
      <c r="AF19">
        <v>37.400198386403048</v>
      </c>
      <c r="AG19">
        <v>38.127265188347103</v>
      </c>
      <c r="AH19">
        <v>39.073691161629689</v>
      </c>
      <c r="AI19">
        <v>41.467301941479221</v>
      </c>
      <c r="AJ19">
        <v>41.754477748524913</v>
      </c>
      <c r="AK19">
        <v>41.564983673669431</v>
      </c>
      <c r="AL19">
        <v>41.802733285378082</v>
      </c>
      <c r="AM19">
        <v>42.164097987066732</v>
      </c>
      <c r="AN19">
        <v>41.506142175699708</v>
      </c>
      <c r="AO19">
        <v>43.333959630292583</v>
      </c>
      <c r="AP19">
        <v>41.82727460867892</v>
      </c>
      <c r="AQ19">
        <v>41.83626557689206</v>
      </c>
      <c r="AR19">
        <v>41.483384864428167</v>
      </c>
      <c r="AS19">
        <v>41.508939009420281</v>
      </c>
      <c r="AT19">
        <v>41.54971241368132</v>
      </c>
      <c r="AU19">
        <v>42.999314305617467</v>
      </c>
      <c r="AV19">
        <v>43.08356611961225</v>
      </c>
      <c r="AW19">
        <v>44.28575140863699</v>
      </c>
      <c r="AX19">
        <v>44.126965074987133</v>
      </c>
      <c r="AY19">
        <v>45.042676325286408</v>
      </c>
    </row>
    <row r="20" spans="1:51" x14ac:dyDescent="0.3">
      <c r="A20" s="1" t="s">
        <v>40</v>
      </c>
      <c r="B20">
        <v>66.807904543002778</v>
      </c>
      <c r="C20">
        <v>64.890918148492631</v>
      </c>
      <c r="D20">
        <v>63.914705045045928</v>
      </c>
      <c r="E20">
        <v>63.972371928095207</v>
      </c>
      <c r="F20">
        <v>61.340932341662558</v>
      </c>
      <c r="G20">
        <v>59.890091917655688</v>
      </c>
      <c r="H20">
        <v>60.195019462813647</v>
      </c>
      <c r="I20">
        <v>60.948219780030463</v>
      </c>
      <c r="J20">
        <v>59.745159617348818</v>
      </c>
      <c r="K20">
        <v>58.735264881345692</v>
      </c>
      <c r="L20">
        <v>56.458210510258837</v>
      </c>
      <c r="M20">
        <v>55.316140519420053</v>
      </c>
      <c r="N20">
        <v>55.437779689857599</v>
      </c>
      <c r="O20">
        <v>53.492847173460568</v>
      </c>
      <c r="P20">
        <v>52.165874094317743</v>
      </c>
      <c r="Q20">
        <v>55.086271604304059</v>
      </c>
      <c r="R20">
        <v>53.773514431530891</v>
      </c>
      <c r="S20">
        <v>53.371476255625787</v>
      </c>
      <c r="T20">
        <v>53.228219404095192</v>
      </c>
      <c r="U20">
        <v>50.956081033493128</v>
      </c>
      <c r="V20">
        <v>50.520753261976743</v>
      </c>
      <c r="W20">
        <v>51.153182686032459</v>
      </c>
      <c r="X20">
        <v>51.01880879746701</v>
      </c>
      <c r="Y20">
        <v>50.965336578884788</v>
      </c>
      <c r="Z20">
        <v>50.834900321369837</v>
      </c>
      <c r="AA20">
        <v>50.272688231641837</v>
      </c>
      <c r="AB20">
        <v>51.50407278489164</v>
      </c>
      <c r="AC20">
        <v>53.411799508890972</v>
      </c>
      <c r="AD20">
        <v>52.552344256784437</v>
      </c>
      <c r="AE20">
        <v>52.112874787603658</v>
      </c>
      <c r="AF20">
        <v>51.222482901067949</v>
      </c>
      <c r="AG20">
        <v>51.408070897662959</v>
      </c>
      <c r="AH20">
        <v>51.879237274583232</v>
      </c>
      <c r="AI20">
        <v>54.228775879399237</v>
      </c>
      <c r="AJ20">
        <v>54.128968034236117</v>
      </c>
      <c r="AK20">
        <v>53.418278733132382</v>
      </c>
      <c r="AL20">
        <v>53.264136215698912</v>
      </c>
      <c r="AM20">
        <v>53.231458958782433</v>
      </c>
      <c r="AN20">
        <v>51.924205617523242</v>
      </c>
      <c r="AO20">
        <v>53.722192618640939</v>
      </c>
      <c r="AP20">
        <v>51.67152194270804</v>
      </c>
      <c r="AQ20">
        <v>51.501078603070333</v>
      </c>
      <c r="AR20">
        <v>50.887918363219313</v>
      </c>
      <c r="AS20">
        <v>50.424251548159788</v>
      </c>
      <c r="AT20">
        <v>49.987823115020888</v>
      </c>
      <c r="AU20">
        <v>51.23849517539508</v>
      </c>
      <c r="AV20">
        <v>51.047244844976412</v>
      </c>
      <c r="AW20">
        <v>52.175248225186273</v>
      </c>
      <c r="AX20">
        <v>51.696157670506317</v>
      </c>
    </row>
    <row r="21" spans="1:51" x14ac:dyDescent="0.3">
      <c r="A21" s="1" t="s">
        <v>168</v>
      </c>
      <c r="B21">
        <v>19.529557969999999</v>
      </c>
      <c r="C21">
        <v>19.416876340000002</v>
      </c>
      <c r="D21">
        <v>19.596519700000002</v>
      </c>
      <c r="E21">
        <v>20.1974348</v>
      </c>
      <c r="F21">
        <v>20.347006690000001</v>
      </c>
      <c r="G21">
        <v>20.62446216</v>
      </c>
      <c r="H21">
        <v>21.414208940000002</v>
      </c>
      <c r="I21">
        <v>22.086713039999999</v>
      </c>
      <c r="J21">
        <v>22.5743337</v>
      </c>
      <c r="K21">
        <v>22.76628243</v>
      </c>
      <c r="L21">
        <v>22.64610674</v>
      </c>
      <c r="M21">
        <v>22.082213370000002</v>
      </c>
      <c r="N21">
        <v>22.262312300000001</v>
      </c>
      <c r="O21">
        <v>22.11332655</v>
      </c>
      <c r="P21">
        <v>21.969717209999999</v>
      </c>
      <c r="Q21">
        <v>21.879234199999999</v>
      </c>
      <c r="R21">
        <v>21.81403998</v>
      </c>
      <c r="S21">
        <v>21.952370930000001</v>
      </c>
      <c r="T21">
        <v>22.548925100000002</v>
      </c>
      <c r="U21">
        <v>23.04273259</v>
      </c>
      <c r="V21">
        <v>23.84717929</v>
      </c>
      <c r="W21">
        <v>24.86655712</v>
      </c>
      <c r="X21">
        <v>24.700289099999999</v>
      </c>
      <c r="Y21">
        <v>25.167582400000001</v>
      </c>
      <c r="Z21">
        <v>25.414897400000001</v>
      </c>
      <c r="AA21">
        <v>25.665086500000001</v>
      </c>
      <c r="AB21">
        <v>26.183586300000002</v>
      </c>
      <c r="AC21">
        <v>26.666256700000002</v>
      </c>
      <c r="AD21">
        <v>27.068726900000001</v>
      </c>
      <c r="AE21">
        <v>27.350021399999999</v>
      </c>
      <c r="AF21">
        <v>28.3693861</v>
      </c>
      <c r="AG21">
        <v>29.1610862</v>
      </c>
      <c r="AH21">
        <v>30.597118800000001</v>
      </c>
      <c r="AI21">
        <v>32.568102600000003</v>
      </c>
      <c r="AJ21">
        <v>32.633108100000001</v>
      </c>
      <c r="AK21">
        <v>33.5969427</v>
      </c>
      <c r="AL21">
        <v>34.211064</v>
      </c>
      <c r="AM21">
        <v>34.498693099999997</v>
      </c>
      <c r="AN21">
        <v>34.961722600000002</v>
      </c>
      <c r="AO21">
        <v>35.897765499999998</v>
      </c>
      <c r="AP21">
        <v>36.360793800000003</v>
      </c>
      <c r="AQ21">
        <v>37.542899299999988</v>
      </c>
      <c r="AR21">
        <v>37.668662500000003</v>
      </c>
      <c r="AS21">
        <v>38.620521500000002</v>
      </c>
      <c r="AT21">
        <v>39.501155099999998</v>
      </c>
      <c r="AU21">
        <v>41.397034900000001</v>
      </c>
      <c r="AV21">
        <v>41.569577500000001</v>
      </c>
      <c r="AW21">
        <v>41.534788499999998</v>
      </c>
      <c r="AX21">
        <v>41.997616100000002</v>
      </c>
      <c r="AY21">
        <v>42.788941999999999</v>
      </c>
    </row>
    <row r="22" spans="1:51" x14ac:dyDescent="0.3">
      <c r="A22" s="1" t="s">
        <v>41</v>
      </c>
      <c r="B22">
        <v>16.899055147119249</v>
      </c>
      <c r="C22">
        <v>17.037025853396511</v>
      </c>
      <c r="D22">
        <v>19.610041346537042</v>
      </c>
      <c r="E22">
        <v>21.85680120907001</v>
      </c>
      <c r="F22">
        <v>22.540257719608821</v>
      </c>
      <c r="G22">
        <v>24.790825593771402</v>
      </c>
      <c r="H22">
        <v>25.92303488907147</v>
      </c>
      <c r="I22">
        <v>29.59873294061023</v>
      </c>
      <c r="J22">
        <v>28.14644303626007</v>
      </c>
      <c r="K22">
        <v>22.95252828722862</v>
      </c>
      <c r="L22">
        <v>20.321427737724498</v>
      </c>
      <c r="M22">
        <v>14.72915895292587</v>
      </c>
      <c r="N22">
        <v>13.99291440286502</v>
      </c>
      <c r="O22">
        <v>13.88714725676623</v>
      </c>
      <c r="P22">
        <v>12.110300942876121</v>
      </c>
      <c r="Q22">
        <v>8.3267970247389993</v>
      </c>
      <c r="R22">
        <v>7.2100693352649596</v>
      </c>
      <c r="S22">
        <v>6.4385134492156881</v>
      </c>
      <c r="T22">
        <v>5.2988936606499726</v>
      </c>
      <c r="U22">
        <v>4.3284826867112711</v>
      </c>
      <c r="V22">
        <v>5.6384636061262761</v>
      </c>
      <c r="W22">
        <v>9.2253739557952024</v>
      </c>
      <c r="X22">
        <v>9.0707969523595295</v>
      </c>
      <c r="Y22">
        <v>13.972191004148399</v>
      </c>
      <c r="Z22">
        <v>14.16108559397038</v>
      </c>
      <c r="AA22">
        <v>16.061626648388639</v>
      </c>
      <c r="AB22">
        <v>19.180351980506899</v>
      </c>
      <c r="AC22">
        <v>21.879296396946099</v>
      </c>
      <c r="AD22">
        <v>24.088554549353109</v>
      </c>
      <c r="AE22">
        <v>24.588006859084171</v>
      </c>
      <c r="AF22">
        <v>25.812587403556531</v>
      </c>
      <c r="AG22">
        <v>26.552205065536459</v>
      </c>
      <c r="AH22">
        <v>28.30498076068266</v>
      </c>
      <c r="AI22">
        <v>30.971498960769701</v>
      </c>
      <c r="AJ22">
        <v>32.116300209619801</v>
      </c>
      <c r="AK22">
        <v>33.492928188446108</v>
      </c>
      <c r="AL22">
        <v>34.610277828625037</v>
      </c>
      <c r="AM22">
        <v>34.418768080130967</v>
      </c>
      <c r="AN22">
        <v>33.52533988058007</v>
      </c>
      <c r="AO22">
        <v>34.618690219088762</v>
      </c>
      <c r="AP22">
        <v>34.327683508454918</v>
      </c>
      <c r="AQ22">
        <v>37.268262978397509</v>
      </c>
      <c r="AR22">
        <v>32.779265533701498</v>
      </c>
      <c r="AS22">
        <v>32.438556078202609</v>
      </c>
      <c r="AT22">
        <v>29.100897892385859</v>
      </c>
      <c r="AU22">
        <v>27.10913929631257</v>
      </c>
      <c r="AV22">
        <v>27.384671336286232</v>
      </c>
      <c r="AW22">
        <v>23.6266908893469</v>
      </c>
      <c r="AX22">
        <v>22.760333031442698</v>
      </c>
      <c r="AY22">
        <v>24.030617264165269</v>
      </c>
    </row>
    <row r="23" spans="1:51" x14ac:dyDescent="0.3">
      <c r="A23" s="1" t="s">
        <v>42</v>
      </c>
      <c r="B23">
        <v>21.888560176927559</v>
      </c>
      <c r="C23">
        <v>12.65658777613668</v>
      </c>
      <c r="D23">
        <v>7.2584909699100209</v>
      </c>
      <c r="E23">
        <v>13.679302542862439</v>
      </c>
      <c r="F23">
        <v>19.16127668967793</v>
      </c>
      <c r="G23">
        <v>20.982143273124201</v>
      </c>
      <c r="H23">
        <v>24.097597582045459</v>
      </c>
      <c r="I23">
        <v>34.200732844994192</v>
      </c>
      <c r="J23">
        <v>37.81667662164142</v>
      </c>
      <c r="K23">
        <v>25.255632721028231</v>
      </c>
      <c r="L23">
        <v>10.13086372765221</v>
      </c>
      <c r="M23">
        <v>-8.7199974367349551</v>
      </c>
      <c r="N23">
        <v>-8.8546758839449051</v>
      </c>
      <c r="O23">
        <v>-9.4105392351426662</v>
      </c>
      <c r="P23">
        <v>-2.037769640480549</v>
      </c>
      <c r="Q23">
        <v>-6.8829885204692287</v>
      </c>
      <c r="R23">
        <v>-5.413686978723689</v>
      </c>
      <c r="S23">
        <v>-0.31582163455624579</v>
      </c>
      <c r="T23">
        <v>12.243406581387619</v>
      </c>
      <c r="U23">
        <v>22.530308207494159</v>
      </c>
      <c r="V23">
        <v>34.525808005741439</v>
      </c>
      <c r="W23">
        <v>41.112949015915582</v>
      </c>
      <c r="X23">
        <v>28.77361013544623</v>
      </c>
      <c r="Y23">
        <v>22.147744920988469</v>
      </c>
      <c r="Z23">
        <v>8.8205259353571162</v>
      </c>
      <c r="AA23">
        <v>15.62406652155336</v>
      </c>
      <c r="AB23">
        <v>16.14781879089038</v>
      </c>
      <c r="AC23">
        <v>19.694894381119958</v>
      </c>
      <c r="AD23">
        <v>21.8762621353331</v>
      </c>
      <c r="AE23">
        <v>17.819332869615309</v>
      </c>
      <c r="AF23">
        <v>25.547333758322399</v>
      </c>
      <c r="AG23">
        <v>30.919212532304229</v>
      </c>
      <c r="AH23">
        <v>47.489504340936293</v>
      </c>
      <c r="AI23">
        <v>59.200667722591326</v>
      </c>
      <c r="AJ23">
        <v>47.625412526643153</v>
      </c>
      <c r="AK23">
        <v>39.217076870649649</v>
      </c>
      <c r="AL23">
        <v>20.178779466262149</v>
      </c>
      <c r="AM23">
        <v>22.86738969862332</v>
      </c>
      <c r="AN23">
        <v>16.248858262927619</v>
      </c>
      <c r="AO23">
        <v>19.721122967704229</v>
      </c>
      <c r="AP23">
        <v>21.590391202384321</v>
      </c>
      <c r="AQ23">
        <v>29.53145907061219</v>
      </c>
      <c r="AR23">
        <v>19.73267110455669</v>
      </c>
      <c r="AS23">
        <v>24.858947936389729</v>
      </c>
      <c r="AT23">
        <v>20.864193618631941</v>
      </c>
      <c r="AU23">
        <v>39.591237411203522</v>
      </c>
      <c r="AV23">
        <v>30.543927274519049</v>
      </c>
      <c r="AW23">
        <v>20.593153742990161</v>
      </c>
      <c r="AX23">
        <v>5.8031325330500962</v>
      </c>
      <c r="AY23">
        <v>11.73323929019964</v>
      </c>
    </row>
    <row r="24" spans="1:51" x14ac:dyDescent="0.3">
      <c r="A24" s="1" t="s">
        <v>43</v>
      </c>
      <c r="B24">
        <v>1.466719983084287</v>
      </c>
      <c r="C24">
        <v>-0.57697993048841578</v>
      </c>
      <c r="D24">
        <v>0.92519186327577985</v>
      </c>
      <c r="E24">
        <v>3.066437863453896</v>
      </c>
      <c r="F24">
        <v>0.74054894337374322</v>
      </c>
      <c r="G24">
        <v>1.3636181194964729</v>
      </c>
      <c r="H24">
        <v>3.8291751507182159</v>
      </c>
      <c r="I24">
        <v>3.1404573565349621</v>
      </c>
      <c r="J24">
        <v>2.2077556724574579</v>
      </c>
      <c r="K24">
        <v>0.8502963256895596</v>
      </c>
      <c r="L24">
        <v>-0.5278669908866781</v>
      </c>
      <c r="M24">
        <v>-2.4900234573388551</v>
      </c>
      <c r="N24">
        <v>0.81558368711659524</v>
      </c>
      <c r="O24">
        <v>-0.66922855089047217</v>
      </c>
      <c r="P24">
        <v>-0.64942440783518207</v>
      </c>
      <c r="Q24">
        <v>-0.41185332125630653</v>
      </c>
      <c r="R24">
        <v>-0.29797304331610758</v>
      </c>
      <c r="S24">
        <v>0.6341372351330965</v>
      </c>
      <c r="T24">
        <v>2.7174931213682849</v>
      </c>
      <c r="U24">
        <v>2.189938047202074</v>
      </c>
      <c r="V24">
        <v>3.4911080830279242</v>
      </c>
      <c r="W24">
        <v>4.2746264352843708</v>
      </c>
      <c r="X24">
        <v>-0.66864109574006381</v>
      </c>
      <c r="Y24">
        <v>1.891853565390027</v>
      </c>
      <c r="Z24">
        <v>0.98267285299521034</v>
      </c>
      <c r="AA24">
        <v>0.98441908327359062</v>
      </c>
      <c r="AB24">
        <v>2.0202534676826458</v>
      </c>
      <c r="AC24">
        <v>1.843408288191585</v>
      </c>
      <c r="AD24">
        <v>1.509286453392612</v>
      </c>
      <c r="AE24">
        <v>1.0391862943506269</v>
      </c>
      <c r="AF24">
        <v>3.7271075042010779</v>
      </c>
      <c r="AG24">
        <v>2.7906846387486679</v>
      </c>
      <c r="AH24">
        <v>4.9244825455095738</v>
      </c>
      <c r="AI24">
        <v>6.4417300625051093</v>
      </c>
      <c r="AJ24">
        <v>0.1995986711242983</v>
      </c>
      <c r="AK24">
        <v>2.9535482708127279</v>
      </c>
      <c r="AL24">
        <v>1.82790828761928</v>
      </c>
      <c r="AM24">
        <v>0.84074877063164055</v>
      </c>
      <c r="AN24">
        <v>1.3421653355326599</v>
      </c>
      <c r="AO24">
        <v>2.6773363278158291</v>
      </c>
      <c r="AP24">
        <v>1.2898527068488359</v>
      </c>
      <c r="AQ24">
        <v>3.251044260755382</v>
      </c>
      <c r="AR24">
        <v>0.33498531638447182</v>
      </c>
      <c r="AS24">
        <v>2.52692539853253</v>
      </c>
      <c r="AT24">
        <v>2.280221928126982</v>
      </c>
      <c r="AU24">
        <v>4.7995553426233926</v>
      </c>
      <c r="AV24">
        <v>0.41679941671377979</v>
      </c>
      <c r="AW24">
        <v>-8.3688606168786567E-2</v>
      </c>
      <c r="AX24">
        <v>1.114313125730745</v>
      </c>
      <c r="AY24">
        <v>1.8842162329304131</v>
      </c>
    </row>
    <row r="25" spans="1:51" x14ac:dyDescent="0.3">
      <c r="A25" s="1" t="s">
        <v>44</v>
      </c>
      <c r="B25">
        <v>4.7866743950029658E-5</v>
      </c>
      <c r="C25">
        <v>4.6542724281265791E-5</v>
      </c>
      <c r="D25">
        <v>4.5961366873413813E-5</v>
      </c>
      <c r="E25">
        <v>4.6371737180423279E-5</v>
      </c>
      <c r="F25">
        <v>4.6558329545256667E-5</v>
      </c>
      <c r="G25">
        <v>4.7035319550539532E-5</v>
      </c>
      <c r="H25">
        <v>4.8673543948117343E-5</v>
      </c>
      <c r="I25">
        <v>4.9066275419257842E-5</v>
      </c>
      <c r="J25">
        <v>4.9039991937174607E-5</v>
      </c>
      <c r="K25">
        <v>4.8386438416602488E-5</v>
      </c>
      <c r="L25">
        <v>4.7297480372450949E-5</v>
      </c>
      <c r="M25">
        <v>4.5334648138568758E-5</v>
      </c>
      <c r="N25">
        <v>4.4939370499735768E-5</v>
      </c>
      <c r="O25">
        <v>4.3379695376281607E-5</v>
      </c>
      <c r="P25">
        <v>4.1915838795988953E-5</v>
      </c>
      <c r="Q25">
        <v>4.0628796153894511E-5</v>
      </c>
      <c r="R25">
        <v>3.9463900864768977E-5</v>
      </c>
      <c r="S25">
        <v>3.8716481979030837E-5</v>
      </c>
      <c r="T25">
        <v>3.8794040117316981E-5</v>
      </c>
      <c r="U25">
        <v>3.889550275215081E-5</v>
      </c>
      <c r="V25">
        <v>3.9507845864211553E-5</v>
      </c>
      <c r="W25">
        <v>4.0447522139963733E-5</v>
      </c>
      <c r="X25">
        <v>3.9355110478624938E-5</v>
      </c>
      <c r="Y25">
        <v>3.9295719810856518E-5</v>
      </c>
      <c r="Z25">
        <v>3.8901948421021622E-5</v>
      </c>
      <c r="AA25">
        <v>3.8286513264050672E-5</v>
      </c>
      <c r="AB25">
        <v>3.8091923200480491E-5</v>
      </c>
      <c r="AC25">
        <v>3.785588137804399E-5</v>
      </c>
      <c r="AD25">
        <v>3.7964867675000172E-5</v>
      </c>
      <c r="AE25">
        <v>3.7903329761305698E-5</v>
      </c>
      <c r="AF25">
        <v>3.8854082521373508E-5</v>
      </c>
      <c r="AG25">
        <v>3.9318717967756E-5</v>
      </c>
      <c r="AH25">
        <v>4.0624654056297399E-5</v>
      </c>
      <c r="AI25">
        <v>4.2590866876391678E-5</v>
      </c>
      <c r="AJ25">
        <v>4.2304360165660913E-5</v>
      </c>
      <c r="AK25">
        <v>4.3177951513705931E-5</v>
      </c>
      <c r="AL25">
        <v>4.3590995845656278E-5</v>
      </c>
      <c r="AM25">
        <v>4.3554015229913762E-5</v>
      </c>
      <c r="AN25">
        <v>4.3737133298021477E-5</v>
      </c>
      <c r="AO25">
        <v>4.4503356933523378E-5</v>
      </c>
      <c r="AP25">
        <v>4.4918478965424592E-5</v>
      </c>
      <c r="AQ25">
        <v>4.6215879480992851E-5</v>
      </c>
      <c r="AR25">
        <v>4.6208375435519887E-5</v>
      </c>
      <c r="AS25">
        <v>4.6915458152162279E-5</v>
      </c>
      <c r="AT25">
        <v>4.7523235162696918E-5</v>
      </c>
      <c r="AU25">
        <v>4.9329199947781647E-5</v>
      </c>
      <c r="AV25">
        <v>4.9253406620366851E-5</v>
      </c>
      <c r="AW25">
        <v>4.8934201882943952E-5</v>
      </c>
      <c r="AX25">
        <v>4.9201556916536432E-5</v>
      </c>
    </row>
    <row r="26" spans="1:51" x14ac:dyDescent="0.3">
      <c r="A26" s="1" t="s">
        <v>169</v>
      </c>
      <c r="B26">
        <v>10.260892034842589</v>
      </c>
      <c r="C26">
        <v>10.333052488863039</v>
      </c>
      <c r="D26">
        <v>10.430973429580259</v>
      </c>
      <c r="E26">
        <v>10.60069278529066</v>
      </c>
      <c r="F26">
        <v>10.86871906508115</v>
      </c>
      <c r="G26">
        <v>10.99073427927433</v>
      </c>
      <c r="H26">
        <v>11.471141778348761</v>
      </c>
      <c r="I26">
        <v>11.807030687089799</v>
      </c>
      <c r="J26">
        <v>12.01507019222861</v>
      </c>
      <c r="K26">
        <v>12.236839858711891</v>
      </c>
      <c r="L26">
        <v>12.17361443389483</v>
      </c>
      <c r="M26">
        <v>11.65800915346019</v>
      </c>
      <c r="N26">
        <v>11.81201999694086</v>
      </c>
      <c r="O26">
        <v>11.8529651513301</v>
      </c>
      <c r="P26">
        <v>11.748647836820579</v>
      </c>
      <c r="Q26">
        <v>11.781547505783211</v>
      </c>
      <c r="R26">
        <v>12.146277978355171</v>
      </c>
      <c r="S26">
        <v>12.026465057502209</v>
      </c>
      <c r="T26">
        <v>12.53854381479009</v>
      </c>
      <c r="U26">
        <v>12.987954177239301</v>
      </c>
      <c r="V26">
        <v>13.46129504655255</v>
      </c>
      <c r="W26">
        <v>14.03837802291808</v>
      </c>
      <c r="X26">
        <v>14.166117400035541</v>
      </c>
      <c r="Y26">
        <v>14.492823034345941</v>
      </c>
      <c r="Z26">
        <v>14.88069340177768</v>
      </c>
      <c r="AA26">
        <v>15.228920862148961</v>
      </c>
      <c r="AB26">
        <v>15.55656715191347</v>
      </c>
      <c r="AC26">
        <v>15.605194443430699</v>
      </c>
      <c r="AD26">
        <v>16.238396532842572</v>
      </c>
      <c r="AE26">
        <v>16.564538574882938</v>
      </c>
      <c r="AF26">
        <v>17.16698176632238</v>
      </c>
      <c r="AG26">
        <v>17.789250099204011</v>
      </c>
      <c r="AH26">
        <v>18.590152553870059</v>
      </c>
      <c r="AI26">
        <v>19.679856775476519</v>
      </c>
      <c r="AJ26">
        <v>19.944184986316799</v>
      </c>
      <c r="AK26">
        <v>20.688373594219481</v>
      </c>
      <c r="AL26">
        <v>21.153208360093512</v>
      </c>
      <c r="AM26">
        <v>21.42428917840542</v>
      </c>
      <c r="AN26">
        <v>21.836687499733571</v>
      </c>
      <c r="AO26">
        <v>22.224751828275629</v>
      </c>
      <c r="AP26">
        <v>22.691449334011061</v>
      </c>
      <c r="AQ26">
        <v>23.712338216218662</v>
      </c>
      <c r="AR26">
        <v>23.36140377270382</v>
      </c>
      <c r="AS26">
        <v>23.93474859291906</v>
      </c>
      <c r="AT26">
        <v>24.359942380091638</v>
      </c>
      <c r="AU26">
        <v>24.918375242589761</v>
      </c>
      <c r="AV26">
        <v>25.378092198116871</v>
      </c>
      <c r="AW26">
        <v>25.286843457295362</v>
      </c>
      <c r="AX26">
        <v>25.66161957951612</v>
      </c>
      <c r="AY26">
        <v>26.120789527619149</v>
      </c>
    </row>
    <row r="27" spans="1:51" x14ac:dyDescent="0.3">
      <c r="A27" s="1" t="s">
        <v>45</v>
      </c>
      <c r="B27">
        <v>14.95227864237377</v>
      </c>
      <c r="C27">
        <v>15.58172223475909</v>
      </c>
      <c r="D27">
        <v>18.98762005257101</v>
      </c>
      <c r="E27">
        <v>21.78852919186593</v>
      </c>
      <c r="F27">
        <v>24.70525185933365</v>
      </c>
      <c r="G27">
        <v>27.017899791283131</v>
      </c>
      <c r="H27">
        <v>27.149267759516508</v>
      </c>
      <c r="I27">
        <v>31.877298606620421</v>
      </c>
      <c r="J27">
        <v>31.045639624993381</v>
      </c>
      <c r="K27">
        <v>28.57287002943978</v>
      </c>
      <c r="L27">
        <v>25.84943836092345</v>
      </c>
      <c r="M27">
        <v>15.998893655437451</v>
      </c>
      <c r="N27">
        <v>15.116891950827981</v>
      </c>
      <c r="O27">
        <v>14.709231992242531</v>
      </c>
      <c r="P27">
        <v>12.6323244530913</v>
      </c>
      <c r="Q27">
        <v>11.13941083295127</v>
      </c>
      <c r="R27">
        <v>11.75445703973106</v>
      </c>
      <c r="S27">
        <v>9.4236722671113995</v>
      </c>
      <c r="T27">
        <v>9.3051071729929848</v>
      </c>
      <c r="U27">
        <v>10.00186686599166</v>
      </c>
      <c r="V27">
        <v>12.03675743200705</v>
      </c>
      <c r="W27">
        <v>14.72225006625054</v>
      </c>
      <c r="X27">
        <v>16.367390120332828</v>
      </c>
      <c r="Y27">
        <v>24.316449263074691</v>
      </c>
      <c r="Z27">
        <v>25.979243225388789</v>
      </c>
      <c r="AA27">
        <v>28.481950868133811</v>
      </c>
      <c r="AB27">
        <v>32.411553805866603</v>
      </c>
      <c r="AC27">
        <v>32.454539064334092</v>
      </c>
      <c r="AD27">
        <v>33.69030876602374</v>
      </c>
      <c r="AE27">
        <v>37.734059806292272</v>
      </c>
      <c r="AF27">
        <v>36.913680088374562</v>
      </c>
      <c r="AG27">
        <v>36.967299518031318</v>
      </c>
      <c r="AH27">
        <v>38.100773288013038</v>
      </c>
      <c r="AI27">
        <v>40.186115114926807</v>
      </c>
      <c r="AJ27">
        <v>40.787940852916819</v>
      </c>
      <c r="AK27">
        <v>42.749094121904093</v>
      </c>
      <c r="AL27">
        <v>42.152034108615531</v>
      </c>
      <c r="AM27">
        <v>40.68159768073177</v>
      </c>
      <c r="AN27">
        <v>40.369576954178157</v>
      </c>
      <c r="AO27">
        <v>42.418935623269718</v>
      </c>
      <c r="AP27">
        <v>39.739470508168857</v>
      </c>
      <c r="AQ27">
        <v>43.151214922304163</v>
      </c>
      <c r="AR27">
        <v>36.083349366243581</v>
      </c>
      <c r="AS27">
        <v>34.546135781125642</v>
      </c>
      <c r="AT27">
        <v>31.03680730699779</v>
      </c>
      <c r="AU27">
        <v>26.618681867853152</v>
      </c>
      <c r="AV27">
        <v>27.245571656741738</v>
      </c>
      <c r="AW27">
        <v>22.227314496876311</v>
      </c>
      <c r="AX27">
        <v>21.313131997167542</v>
      </c>
      <c r="AY27">
        <v>21.921382362349512</v>
      </c>
    </row>
    <row r="28" spans="1:51" x14ac:dyDescent="0.3">
      <c r="A28" s="1" t="s">
        <v>46</v>
      </c>
      <c r="B28">
        <v>31.246090727480588</v>
      </c>
      <c r="C28">
        <v>27.287675107121881</v>
      </c>
      <c r="D28">
        <v>15.158836008099049</v>
      </c>
      <c r="E28">
        <v>13.24644092518349</v>
      </c>
      <c r="F28">
        <v>20.736043944243828</v>
      </c>
      <c r="G28">
        <v>21.46533508010673</v>
      </c>
      <c r="H28">
        <v>32.844985160438817</v>
      </c>
      <c r="I28">
        <v>34.532555911698722</v>
      </c>
      <c r="J28">
        <v>37.279981006761453</v>
      </c>
      <c r="K28">
        <v>26.699977915305588</v>
      </c>
      <c r="L28">
        <v>12.41916808790435</v>
      </c>
      <c r="M28">
        <v>-11.88710621097715</v>
      </c>
      <c r="N28">
        <v>-13.88658727828623</v>
      </c>
      <c r="O28">
        <v>-10.535877715067249</v>
      </c>
      <c r="P28">
        <v>3.1099197870672528</v>
      </c>
      <c r="Q28">
        <v>-1.031914648486522</v>
      </c>
      <c r="R28">
        <v>9.8983781114773013</v>
      </c>
      <c r="S28">
        <v>9.4586959977112226</v>
      </c>
      <c r="T28">
        <v>25.701082430310429</v>
      </c>
      <c r="U28">
        <v>27.71799559944235</v>
      </c>
      <c r="V28">
        <v>47.72241825640269</v>
      </c>
      <c r="W28">
        <v>47.847157701321791</v>
      </c>
      <c r="X28">
        <v>36.284797643062632</v>
      </c>
      <c r="Y28">
        <v>30.651671602950799</v>
      </c>
      <c r="Z28">
        <v>24.000361793492122</v>
      </c>
      <c r="AA28">
        <v>30.009731872213521</v>
      </c>
      <c r="AB28">
        <v>29.35919703281008</v>
      </c>
      <c r="AC28">
        <v>19.474926929586939</v>
      </c>
      <c r="AD28">
        <v>26.514700019293869</v>
      </c>
      <c r="AE28">
        <v>25.917579710906718</v>
      </c>
      <c r="AF28">
        <v>40.032498884988748</v>
      </c>
      <c r="AG28">
        <v>38.202135616649059</v>
      </c>
      <c r="AH28">
        <v>48.914467972167706</v>
      </c>
      <c r="AI28">
        <v>58.551352668966317</v>
      </c>
      <c r="AJ28">
        <v>48.454766223320703</v>
      </c>
      <c r="AK28">
        <v>45.146935384618239</v>
      </c>
      <c r="AL28">
        <v>29.946388358943071</v>
      </c>
      <c r="AM28">
        <v>29.684927072308781</v>
      </c>
      <c r="AN28">
        <v>22.20211077075567</v>
      </c>
      <c r="AO28">
        <v>20.262523773058199</v>
      </c>
      <c r="AP28">
        <v>23.658384090201121</v>
      </c>
      <c r="AQ28">
        <v>34.35778831396415</v>
      </c>
      <c r="AR28">
        <v>20.45740628666222</v>
      </c>
      <c r="AS28">
        <v>21.916612563737441</v>
      </c>
      <c r="AT28">
        <v>10.92434087212941</v>
      </c>
      <c r="AU28">
        <v>26.65886836312729</v>
      </c>
      <c r="AV28">
        <v>24.121307973543001</v>
      </c>
      <c r="AW28">
        <v>15.2200865296173</v>
      </c>
      <c r="AX28">
        <v>11.93086354452246</v>
      </c>
      <c r="AY28">
        <v>11.70611760260504</v>
      </c>
    </row>
    <row r="29" spans="1:51" x14ac:dyDescent="0.3">
      <c r="A29" s="1" t="s">
        <v>47</v>
      </c>
      <c r="B29">
        <v>2.0973742850728851</v>
      </c>
      <c r="C29">
        <v>0.70325712204572932</v>
      </c>
      <c r="D29">
        <v>0.94764776258279437</v>
      </c>
      <c r="E29">
        <v>1.627071115233681</v>
      </c>
      <c r="F29">
        <v>2.5283845614542959</v>
      </c>
      <c r="G29">
        <v>1.1226273626410641</v>
      </c>
      <c r="H29">
        <v>4.3710227803464852</v>
      </c>
      <c r="I29">
        <v>2.9281209772422798</v>
      </c>
      <c r="J29">
        <v>1.761996819118</v>
      </c>
      <c r="K29">
        <v>1.8457625543188909</v>
      </c>
      <c r="L29">
        <v>-0.51668098583516076</v>
      </c>
      <c r="M29">
        <v>-4.2354329787137726</v>
      </c>
      <c r="N29">
        <v>1.3210732763488719</v>
      </c>
      <c r="O29">
        <v>0.34663973139093951</v>
      </c>
      <c r="P29">
        <v>-0.88009466979500239</v>
      </c>
      <c r="Q29">
        <v>0.280029407805718</v>
      </c>
      <c r="R29">
        <v>3.0957772940517772</v>
      </c>
      <c r="S29">
        <v>-0.98641675307005661</v>
      </c>
      <c r="T29">
        <v>4.2579324418228497</v>
      </c>
      <c r="U29">
        <v>3.5842309050202279</v>
      </c>
      <c r="V29">
        <v>3.644460573650254</v>
      </c>
      <c r="W29">
        <v>4.2869796284074564</v>
      </c>
      <c r="X29">
        <v>0.9099297433715603</v>
      </c>
      <c r="Y29">
        <v>2.3062468359155011</v>
      </c>
      <c r="Z29">
        <v>2.676292717523324</v>
      </c>
      <c r="AA29">
        <v>2.3401292599017931</v>
      </c>
      <c r="AB29">
        <v>2.1514741112015652</v>
      </c>
      <c r="AC29">
        <v>0.31258368920582857</v>
      </c>
      <c r="AD29">
        <v>4.057636652380392</v>
      </c>
      <c r="AE29">
        <v>2.008462112504394</v>
      </c>
      <c r="AF29">
        <v>3.6369452050595079</v>
      </c>
      <c r="AG29">
        <v>3.6247975407207411</v>
      </c>
      <c r="AH29">
        <v>4.5021709751659964</v>
      </c>
      <c r="AI29">
        <v>5.8617282372952042</v>
      </c>
      <c r="AJ29">
        <v>1.343140927578621</v>
      </c>
      <c r="AK29">
        <v>3.7313563247294952</v>
      </c>
      <c r="AL29">
        <v>2.2468405443137862</v>
      </c>
      <c r="AM29">
        <v>1.2815115971878679</v>
      </c>
      <c r="AN29">
        <v>1.924910170386551</v>
      </c>
      <c r="AO29">
        <v>1.7771208593189429</v>
      </c>
      <c r="AP29">
        <v>2.099899739450267</v>
      </c>
      <c r="AQ29">
        <v>4.4990025413556927</v>
      </c>
      <c r="AR29">
        <v>-1.479965578741665</v>
      </c>
      <c r="AS29">
        <v>2.4542395901960048</v>
      </c>
      <c r="AT29">
        <v>1.7764706636541649</v>
      </c>
      <c r="AU29">
        <v>2.2924227561166122</v>
      </c>
      <c r="AV29">
        <v>1.8448913745442721</v>
      </c>
      <c r="AW29">
        <v>-0.35955713340927858</v>
      </c>
      <c r="AX29">
        <v>1.4820992697395681</v>
      </c>
      <c r="AY29">
        <v>1.789325676347989</v>
      </c>
    </row>
    <row r="30" spans="1:51" x14ac:dyDescent="0.3">
      <c r="A30" s="1" t="s">
        <v>48</v>
      </c>
      <c r="B30">
        <v>2.5149339912618051E-5</v>
      </c>
      <c r="C30">
        <v>2.4768577836706751E-5</v>
      </c>
      <c r="D30">
        <v>2.4464639843357989E-5</v>
      </c>
      <c r="E30">
        <v>2.4338364977413251E-5</v>
      </c>
      <c r="F30">
        <v>2.486996793565521E-5</v>
      </c>
      <c r="G30">
        <v>2.506502690399064E-5</v>
      </c>
      <c r="H30">
        <v>2.6073394774840719E-5</v>
      </c>
      <c r="I30">
        <v>2.622966208358803E-5</v>
      </c>
      <c r="J30">
        <v>2.6101277370214382E-5</v>
      </c>
      <c r="K30">
        <v>2.6007632122544558E-5</v>
      </c>
      <c r="L30">
        <v>2.5425177773798942E-5</v>
      </c>
      <c r="M30">
        <v>2.3933821040165569E-5</v>
      </c>
      <c r="N30">
        <v>2.384409740729461E-5</v>
      </c>
      <c r="O30">
        <v>2.3251952455356888E-5</v>
      </c>
      <c r="P30">
        <v>2.2415146453267239E-5</v>
      </c>
      <c r="Q30">
        <v>2.18778266009827E-5</v>
      </c>
      <c r="R30">
        <v>2.1973898940921211E-5</v>
      </c>
      <c r="S30">
        <v>2.1210575347645539E-5</v>
      </c>
      <c r="T30">
        <v>2.1571794203338918E-5</v>
      </c>
      <c r="U30">
        <v>2.1923311632963741E-5</v>
      </c>
      <c r="V30">
        <v>2.230145391052127E-5</v>
      </c>
      <c r="W30">
        <v>2.283458876719477E-5</v>
      </c>
      <c r="X30">
        <v>2.2570955063500449E-5</v>
      </c>
      <c r="Y30">
        <v>2.2628550655941649E-5</v>
      </c>
      <c r="Z30">
        <v>2.2777505573758181E-5</v>
      </c>
      <c r="AA30">
        <v>2.2718110869637779E-5</v>
      </c>
      <c r="AB30">
        <v>2.263171875786188E-5</v>
      </c>
      <c r="AC30">
        <v>2.2153405195856519E-5</v>
      </c>
      <c r="AD30">
        <v>2.2774937953345339E-5</v>
      </c>
      <c r="AE30">
        <v>2.2956149056163329E-5</v>
      </c>
      <c r="AF30">
        <v>2.3511517797405009E-5</v>
      </c>
      <c r="AG30">
        <v>2.3985749457730351E-5</v>
      </c>
      <c r="AH30">
        <v>2.4682667714280499E-5</v>
      </c>
      <c r="AI30">
        <v>2.5736290823118919E-5</v>
      </c>
      <c r="AJ30">
        <v>2.5854907301082751E-5</v>
      </c>
      <c r="AK30">
        <v>2.6588180952210359E-5</v>
      </c>
      <c r="AL30">
        <v>2.6952959362711951E-5</v>
      </c>
      <c r="AM30">
        <v>2.7047801911265629E-5</v>
      </c>
      <c r="AN30">
        <v>2.7317707508012971E-5</v>
      </c>
      <c r="AO30">
        <v>2.7552580212067149E-5</v>
      </c>
      <c r="AP30">
        <v>2.8031989488765609E-5</v>
      </c>
      <c r="AQ30">
        <v>2.9190248639462501E-5</v>
      </c>
      <c r="AR30">
        <v>2.8657574880177089E-5</v>
      </c>
      <c r="AS30">
        <v>2.9075466937794171E-5</v>
      </c>
      <c r="AT30">
        <v>2.9307073865261271E-5</v>
      </c>
      <c r="AU30">
        <v>2.9693032790509401E-5</v>
      </c>
      <c r="AV30">
        <v>3.0069044947185469E-5</v>
      </c>
      <c r="AW30">
        <v>2.9791689025253889E-5</v>
      </c>
      <c r="AX30">
        <v>3.0063412011427661E-5</v>
      </c>
    </row>
    <row r="31" spans="1:51" x14ac:dyDescent="0.3">
      <c r="A31" s="1" t="s">
        <v>170</v>
      </c>
      <c r="B31">
        <v>9.3864890117613804</v>
      </c>
      <c r="C31">
        <v>9.2921308424105948</v>
      </c>
      <c r="D31">
        <v>9.462012173063842</v>
      </c>
      <c r="E31">
        <v>9.8537415227414336</v>
      </c>
      <c r="F31">
        <v>9.7440153600393717</v>
      </c>
      <c r="G31">
        <v>9.9144141458102304</v>
      </c>
      <c r="H31">
        <v>10.201181014094679</v>
      </c>
      <c r="I31">
        <v>10.5874600669557</v>
      </c>
      <c r="J31">
        <v>10.92627898682721</v>
      </c>
      <c r="K31">
        <v>10.93542412992787</v>
      </c>
      <c r="L31">
        <v>10.88594949385962</v>
      </c>
      <c r="M31">
        <v>10.83553409036405</v>
      </c>
      <c r="N31">
        <v>10.865176125509</v>
      </c>
      <c r="O31">
        <v>10.671433532999149</v>
      </c>
      <c r="P31">
        <v>10.59939760585578</v>
      </c>
      <c r="Q31">
        <v>10.14304638560913</v>
      </c>
      <c r="R31">
        <v>10.063641587261481</v>
      </c>
      <c r="S31">
        <v>10.324659755565269</v>
      </c>
      <c r="T31">
        <v>10.40795531749597</v>
      </c>
      <c r="U31">
        <v>10.45684604134623</v>
      </c>
      <c r="V31">
        <v>10.78266836564751</v>
      </c>
      <c r="W31">
        <v>11.20499150017954</v>
      </c>
      <c r="X31">
        <v>10.919575925526059</v>
      </c>
      <c r="Y31">
        <v>11.055701477094621</v>
      </c>
      <c r="Z31">
        <v>10.90797878729455</v>
      </c>
      <c r="AA31">
        <v>10.810788965108459</v>
      </c>
      <c r="AB31">
        <v>11.04140126331836</v>
      </c>
      <c r="AC31">
        <v>11.465695929253631</v>
      </c>
      <c r="AD31">
        <v>11.14619645426777</v>
      </c>
      <c r="AE31">
        <v>11.10724593120017</v>
      </c>
      <c r="AF31">
        <v>11.52661021439082</v>
      </c>
      <c r="AG31">
        <v>11.71330356625684</v>
      </c>
      <c r="AH31">
        <v>12.346081209037809</v>
      </c>
      <c r="AI31">
        <v>13.180783936152251</v>
      </c>
      <c r="AJ31">
        <v>13.011600364750491</v>
      </c>
      <c r="AK31">
        <v>13.219895078840651</v>
      </c>
      <c r="AL31">
        <v>13.368027031659169</v>
      </c>
      <c r="AM31">
        <v>13.35764260311316</v>
      </c>
      <c r="AN31">
        <v>13.41183469267817</v>
      </c>
      <c r="AO31">
        <v>13.764903448170481</v>
      </c>
      <c r="AP31">
        <v>13.69875815251228</v>
      </c>
      <c r="AQ31">
        <v>13.86184450386148</v>
      </c>
      <c r="AR31">
        <v>14.36497380517284</v>
      </c>
      <c r="AS31">
        <v>14.7847359923247</v>
      </c>
      <c r="AT31">
        <v>15.250258897462739</v>
      </c>
      <c r="AU31">
        <v>16.542714018633148</v>
      </c>
      <c r="AV31">
        <v>16.287351615861329</v>
      </c>
      <c r="AW31">
        <v>16.419118334808651</v>
      </c>
      <c r="AX31">
        <v>16.562056459396931</v>
      </c>
      <c r="AY31">
        <v>16.94263767373263</v>
      </c>
    </row>
    <row r="32" spans="1:51" x14ac:dyDescent="0.3">
      <c r="A32" s="1" t="s">
        <v>49</v>
      </c>
      <c r="B32">
        <v>16.95948658843464</v>
      </c>
      <c r="C32">
        <v>16.965678722935021</v>
      </c>
      <c r="D32">
        <v>19.299319662098171</v>
      </c>
      <c r="E32">
        <v>23.628687134396841</v>
      </c>
      <c r="F32">
        <v>22.095901815427691</v>
      </c>
      <c r="G32">
        <v>24.33587174942495</v>
      </c>
      <c r="H32">
        <v>26.02169835179037</v>
      </c>
      <c r="I32">
        <v>28.584573326043301</v>
      </c>
      <c r="J32">
        <v>27.235438109943349</v>
      </c>
      <c r="K32">
        <v>19.44246119706224</v>
      </c>
      <c r="L32">
        <v>17.96003383783507</v>
      </c>
      <c r="M32">
        <v>16.863158096433729</v>
      </c>
      <c r="N32">
        <v>15.753356893027901</v>
      </c>
      <c r="O32">
        <v>14.84377172449217</v>
      </c>
      <c r="P32">
        <v>12.02054501715617</v>
      </c>
      <c r="Q32">
        <v>2.9359899709161961</v>
      </c>
      <c r="R32">
        <v>3.280231151244982</v>
      </c>
      <c r="S32">
        <v>4.1378704149493748</v>
      </c>
      <c r="T32">
        <v>2.026964359475532</v>
      </c>
      <c r="U32">
        <v>-1.2336672325888891</v>
      </c>
      <c r="V32">
        <v>-1.314359823255856</v>
      </c>
      <c r="W32">
        <v>2.4650838142978651</v>
      </c>
      <c r="X32">
        <v>0.30889755354283688</v>
      </c>
      <c r="Y32">
        <v>2.0319015647448389</v>
      </c>
      <c r="Z32">
        <v>0.39394356143995962</v>
      </c>
      <c r="AA32">
        <v>1.3058735893202551</v>
      </c>
      <c r="AB32">
        <v>4.1700828094078934</v>
      </c>
      <c r="AC32">
        <v>13.03996347212877</v>
      </c>
      <c r="AD32">
        <v>10.75708884919535</v>
      </c>
      <c r="AE32">
        <v>7.5797769046390506</v>
      </c>
      <c r="AF32">
        <v>10.74807551310653</v>
      </c>
      <c r="AG32">
        <v>12.015645252331259</v>
      </c>
      <c r="AH32">
        <v>14.49931306772987</v>
      </c>
      <c r="AI32">
        <v>17.63314533474701</v>
      </c>
      <c r="AJ32">
        <v>19.158476972846739</v>
      </c>
      <c r="AK32">
        <v>19.575362144408871</v>
      </c>
      <c r="AL32">
        <v>22.552741367906268</v>
      </c>
      <c r="AM32">
        <v>23.558443756737908</v>
      </c>
      <c r="AN32">
        <v>21.468592371829121</v>
      </c>
      <c r="AO32">
        <v>20.052925989870658</v>
      </c>
      <c r="AP32">
        <v>22.900742048801391</v>
      </c>
      <c r="AQ32">
        <v>24.800014240466808</v>
      </c>
      <c r="AR32">
        <v>24.624443249051321</v>
      </c>
      <c r="AS32">
        <v>26.22174358151106</v>
      </c>
      <c r="AT32">
        <v>23.52307294316968</v>
      </c>
      <c r="AU32">
        <v>25.506298402022999</v>
      </c>
      <c r="AV32">
        <v>25.1756214399662</v>
      </c>
      <c r="AW32">
        <v>24.200065408148241</v>
      </c>
      <c r="AX32">
        <v>23.893050336997501</v>
      </c>
      <c r="AY32">
        <v>26.838531147583961</v>
      </c>
    </row>
    <row r="33" spans="1:51" x14ac:dyDescent="0.3">
      <c r="A33" s="1" t="s">
        <v>50</v>
      </c>
      <c r="B33">
        <v>10.096704524017509</v>
      </c>
      <c r="C33">
        <v>2.7577270001541798</v>
      </c>
      <c r="D33">
        <v>8.1979218632089914</v>
      </c>
      <c r="E33">
        <v>19.91170544788708</v>
      </c>
      <c r="F33">
        <v>19.45235276138439</v>
      </c>
      <c r="G33">
        <v>19.124979527473961</v>
      </c>
      <c r="H33">
        <v>14.103860571190991</v>
      </c>
      <c r="I33">
        <v>34.624112370566714</v>
      </c>
      <c r="J33">
        <v>40.823989239730963</v>
      </c>
      <c r="K33">
        <v>28.790514150026262</v>
      </c>
      <c r="L33">
        <v>11.27709290108314</v>
      </c>
      <c r="M33">
        <v>-3.3220786901952049</v>
      </c>
      <c r="N33">
        <v>-2.5695575620743609</v>
      </c>
      <c r="O33">
        <v>-7.8823059387319248</v>
      </c>
      <c r="P33">
        <v>-8.7171147278569059</v>
      </c>
      <c r="Q33">
        <v>-26.585109401198679</v>
      </c>
      <c r="R33">
        <v>-22.78201682494511</v>
      </c>
      <c r="S33">
        <v>-10.3680552615076</v>
      </c>
      <c r="T33">
        <v>10.446917890967841</v>
      </c>
      <c r="U33">
        <v>15.62871454335064</v>
      </c>
      <c r="V33">
        <v>17.744259701550479</v>
      </c>
      <c r="W33">
        <v>30.631806473793709</v>
      </c>
      <c r="X33">
        <v>17.700552627444171</v>
      </c>
      <c r="Y33">
        <v>10.128591631992</v>
      </c>
      <c r="Z33">
        <v>-10.602871510620171</v>
      </c>
      <c r="AA33">
        <v>-3.9850251020572518</v>
      </c>
      <c r="AB33">
        <v>-0.51738784032406915</v>
      </c>
      <c r="AC33">
        <v>20.451713478163398</v>
      </c>
      <c r="AD33">
        <v>12.410102176328961</v>
      </c>
      <c r="AE33">
        <v>2.3853736065386459</v>
      </c>
      <c r="AF33">
        <v>2.1250968284191138</v>
      </c>
      <c r="AG33">
        <v>20.351592197962109</v>
      </c>
      <c r="AH33">
        <v>44.613589561666927</v>
      </c>
      <c r="AI33">
        <v>57.40364915597516</v>
      </c>
      <c r="AJ33">
        <v>44.335803000400958</v>
      </c>
      <c r="AK33">
        <v>28.31064707927457</v>
      </c>
      <c r="AL33">
        <v>5.6823052836290033</v>
      </c>
      <c r="AM33">
        <v>10.6379608553036</v>
      </c>
      <c r="AN33">
        <v>5.8075987046141391</v>
      </c>
      <c r="AO33">
        <v>11.87539239923418</v>
      </c>
      <c r="AP33">
        <v>10.21484282921651</v>
      </c>
      <c r="AQ33">
        <v>13.421275209393309</v>
      </c>
      <c r="AR33">
        <v>17.43769171391083</v>
      </c>
      <c r="AS33">
        <v>31.710256585944951</v>
      </c>
      <c r="AT33">
        <v>40.064347662087748</v>
      </c>
      <c r="AU33">
        <v>60.640283595257358</v>
      </c>
      <c r="AV33">
        <v>40.653160781949438</v>
      </c>
      <c r="AW33">
        <v>30.658087713917521</v>
      </c>
      <c r="AX33">
        <v>0.46769691459315688</v>
      </c>
      <c r="AY33">
        <v>16.093127313176069</v>
      </c>
    </row>
    <row r="34" spans="1:51" x14ac:dyDescent="0.3">
      <c r="A34" s="1" t="s">
        <v>51</v>
      </c>
      <c r="B34">
        <v>1.2349497684108921</v>
      </c>
      <c r="C34">
        <v>-1.0052552049286341</v>
      </c>
      <c r="D34">
        <v>1.8282279224683839</v>
      </c>
      <c r="E34">
        <v>4.1400216202717894</v>
      </c>
      <c r="F34">
        <v>-1.1135482136285491</v>
      </c>
      <c r="G34">
        <v>1.748753254943249</v>
      </c>
      <c r="H34">
        <v>2.8924237384781839</v>
      </c>
      <c r="I34">
        <v>3.7866111024527869</v>
      </c>
      <c r="J34">
        <v>3.2001907702962158</v>
      </c>
      <c r="K34">
        <v>8.3698605093984399E-2</v>
      </c>
      <c r="L34">
        <v>-0.45242539731811332</v>
      </c>
      <c r="M34">
        <v>-0.46312362117799599</v>
      </c>
      <c r="N34">
        <v>0.27356321246140802</v>
      </c>
      <c r="O34">
        <v>-1.783151881495781</v>
      </c>
      <c r="P34">
        <v>-0.67503514800163367</v>
      </c>
      <c r="Q34">
        <v>-4.3054448678718646</v>
      </c>
      <c r="R34">
        <v>-0.78284960286001148</v>
      </c>
      <c r="S34">
        <v>2.5936751228718689</v>
      </c>
      <c r="T34">
        <v>0.80676326293272982</v>
      </c>
      <c r="U34">
        <v>0.4697437907720351</v>
      </c>
      <c r="V34">
        <v>3.1158756953385258</v>
      </c>
      <c r="W34">
        <v>3.9166848150269482</v>
      </c>
      <c r="X34">
        <v>-2.547218127286464</v>
      </c>
      <c r="Y34">
        <v>1.246619397098959</v>
      </c>
      <c r="Z34">
        <v>-1.3361674978843869</v>
      </c>
      <c r="AA34">
        <v>-0.89099753566904982</v>
      </c>
      <c r="AB34">
        <v>2.1331680689929362</v>
      </c>
      <c r="AC34">
        <v>3.8427610392610281</v>
      </c>
      <c r="AD34">
        <v>-2.786568534149696</v>
      </c>
      <c r="AE34">
        <v>-0.34945125206984401</v>
      </c>
      <c r="AF34">
        <v>3.7755919495098582</v>
      </c>
      <c r="AG34">
        <v>1.6196726391679019</v>
      </c>
      <c r="AH34">
        <v>5.4022132970569441</v>
      </c>
      <c r="AI34">
        <v>6.7608718344035976</v>
      </c>
      <c r="AJ34">
        <v>-1.2835622844687189</v>
      </c>
      <c r="AK34">
        <v>1.60083854599815</v>
      </c>
      <c r="AL34">
        <v>1.120522908352132</v>
      </c>
      <c r="AM34">
        <v>-7.7681085783413512E-2</v>
      </c>
      <c r="AN34">
        <v>0.40570099960888117</v>
      </c>
      <c r="AO34">
        <v>2.632516457163431</v>
      </c>
      <c r="AP34">
        <v>-0.48053584906904823</v>
      </c>
      <c r="AQ34">
        <v>1.1905192392880599</v>
      </c>
      <c r="AR34">
        <v>3.6295985081293241</v>
      </c>
      <c r="AS34">
        <v>2.9221228861601118</v>
      </c>
      <c r="AT34">
        <v>3.148672423908772</v>
      </c>
      <c r="AU34">
        <v>8.4749716700576077</v>
      </c>
      <c r="AV34">
        <v>-1.5436548228071361</v>
      </c>
      <c r="AW34">
        <v>0.80901255191792731</v>
      </c>
      <c r="AX34">
        <v>0.87055907432767987</v>
      </c>
      <c r="AY34">
        <v>2.2979103788754789</v>
      </c>
    </row>
    <row r="35" spans="1:51" x14ac:dyDescent="0.3">
      <c r="A35" s="1" t="s">
        <v>52</v>
      </c>
      <c r="B35">
        <v>2.300618717566135E-5</v>
      </c>
      <c r="C35">
        <v>2.2273463363044848E-5</v>
      </c>
      <c r="D35">
        <v>2.2192053461763151E-5</v>
      </c>
      <c r="E35">
        <v>2.262342305649575E-5</v>
      </c>
      <c r="F35">
        <v>2.2296403846454719E-5</v>
      </c>
      <c r="G35">
        <v>2.2610414462540031E-5</v>
      </c>
      <c r="H35">
        <v>2.3186830473329541E-5</v>
      </c>
      <c r="I35">
        <v>2.3520350479260019E-5</v>
      </c>
      <c r="J35">
        <v>2.373601101756226E-5</v>
      </c>
      <c r="K35">
        <v>2.324166134058557E-5</v>
      </c>
      <c r="L35">
        <v>2.2735827770867329E-5</v>
      </c>
      <c r="M35">
        <v>2.2245284797740398E-5</v>
      </c>
      <c r="N35">
        <v>2.193277000471925E-5</v>
      </c>
      <c r="O35">
        <v>2.093414280492955E-5</v>
      </c>
      <c r="P35">
        <v>2.0222501597763708E-5</v>
      </c>
      <c r="Q35">
        <v>1.883520054739438E-5</v>
      </c>
      <c r="R35">
        <v>1.820618988057128E-5</v>
      </c>
      <c r="S35">
        <v>1.8209172241149238E-5</v>
      </c>
      <c r="T35">
        <v>1.790624760761573E-5</v>
      </c>
      <c r="U35">
        <v>1.7650870285953341E-5</v>
      </c>
      <c r="V35">
        <v>1.7863747934899329E-5</v>
      </c>
      <c r="W35">
        <v>1.8225850068206679E-5</v>
      </c>
      <c r="X35">
        <v>1.7398222149910431E-5</v>
      </c>
      <c r="Y35">
        <v>1.72619578889859E-5</v>
      </c>
      <c r="Z35">
        <v>1.6696570577575131E-5</v>
      </c>
      <c r="AA35">
        <v>1.6127255799721442E-5</v>
      </c>
      <c r="AB35">
        <v>1.6063048206196689E-5</v>
      </c>
      <c r="AC35">
        <v>1.627690117505497E-5</v>
      </c>
      <c r="AD35">
        <v>1.5632943323456859E-5</v>
      </c>
      <c r="AE35">
        <v>1.5393099665735581E-5</v>
      </c>
      <c r="AF35">
        <v>1.5786589913612819E-5</v>
      </c>
      <c r="AG35">
        <v>1.5793378759408599E-5</v>
      </c>
      <c r="AH35">
        <v>1.6392238803482219E-5</v>
      </c>
      <c r="AI35">
        <v>1.7237142146289549E-5</v>
      </c>
      <c r="AJ35">
        <v>1.6867759775601919E-5</v>
      </c>
      <c r="AK35">
        <v>1.6989878925217241E-5</v>
      </c>
      <c r="AL35">
        <v>1.7033250143920569E-5</v>
      </c>
      <c r="AM35">
        <v>1.6863797352710019E-5</v>
      </c>
      <c r="AN35">
        <v>1.677821223044353E-5</v>
      </c>
      <c r="AO35">
        <v>1.7064694773534509E-5</v>
      </c>
      <c r="AP35">
        <v>1.6922825813721959E-5</v>
      </c>
      <c r="AQ35">
        <v>1.706414120698252E-5</v>
      </c>
      <c r="AR35">
        <v>1.762159998940327E-5</v>
      </c>
      <c r="AS35">
        <v>1.7960209644985681E-5</v>
      </c>
      <c r="AT35">
        <v>1.8347353084774301E-5</v>
      </c>
      <c r="AU35">
        <v>1.971249509718208E-5</v>
      </c>
      <c r="AV35">
        <v>1.929794816665883E-5</v>
      </c>
      <c r="AW35">
        <v>1.9344180633915431E-5</v>
      </c>
      <c r="AX35">
        <v>1.9402981388315219E-5</v>
      </c>
    </row>
    <row r="36" spans="1:51" x14ac:dyDescent="0.3">
      <c r="A36" s="1" t="s">
        <v>53</v>
      </c>
      <c r="B36">
        <v>54.429781590312153</v>
      </c>
      <c r="C36">
        <v>48.187696573420411</v>
      </c>
      <c r="D36">
        <v>47.353117100123789</v>
      </c>
      <c r="E36">
        <v>37.043533847682603</v>
      </c>
      <c r="F36">
        <v>42.390089896327048</v>
      </c>
      <c r="G36">
        <v>49.981200209804598</v>
      </c>
      <c r="H36">
        <v>36.141192223959692</v>
      </c>
      <c r="I36">
        <v>8.6152979542681543</v>
      </c>
      <c r="J36">
        <v>11.295576423913349</v>
      </c>
      <c r="K36">
        <v>12.600221291220031</v>
      </c>
      <c r="L36">
        <v>8.9282376683551359</v>
      </c>
      <c r="M36">
        <v>11.879674621257459</v>
      </c>
      <c r="N36">
        <v>12.665570998125769</v>
      </c>
      <c r="O36">
        <v>15.266244899718711</v>
      </c>
      <c r="P36">
        <v>17.44649064103255</v>
      </c>
      <c r="Q36">
        <v>30.430228623558659</v>
      </c>
      <c r="R36">
        <v>25.595117474309969</v>
      </c>
      <c r="S36">
        <v>16.388974177905052</v>
      </c>
      <c r="T36">
        <v>29.56060441965197</v>
      </c>
      <c r="U36">
        <v>34.90915530354328</v>
      </c>
      <c r="V36">
        <v>37.480149700394144</v>
      </c>
      <c r="W36">
        <v>38.214766317732582</v>
      </c>
      <c r="X36">
        <v>36.953603605042417</v>
      </c>
      <c r="Y36">
        <v>39.172617958241787</v>
      </c>
      <c r="Z36">
        <v>40.716330609088203</v>
      </c>
      <c r="AA36">
        <v>40.213902582639221</v>
      </c>
      <c r="AB36">
        <v>37.573498886074788</v>
      </c>
      <c r="AC36">
        <v>30.747672926007191</v>
      </c>
      <c r="AD36">
        <v>117.2841781022989</v>
      </c>
      <c r="AE36">
        <v>78.421457795912872</v>
      </c>
      <c r="AF36">
        <v>51.258373406411557</v>
      </c>
      <c r="AG36">
        <v>44.494193824859138</v>
      </c>
      <c r="AH36">
        <v>42.114069782744167</v>
      </c>
      <c r="AI36">
        <v>35.154918132611122</v>
      </c>
      <c r="AJ36">
        <v>36.510473663767087</v>
      </c>
      <c r="AK36">
        <v>30.37700216871022</v>
      </c>
      <c r="AL36">
        <v>28.922787724576061</v>
      </c>
      <c r="AM36">
        <v>28.723926787658019</v>
      </c>
      <c r="AN36">
        <v>28.70614556970305</v>
      </c>
      <c r="AO36">
        <v>29.061960728097571</v>
      </c>
      <c r="AP36">
        <v>-36.711470775230353</v>
      </c>
      <c r="AQ36">
        <v>-22.890689190766899</v>
      </c>
      <c r="AR36">
        <v>-16.17404375421351</v>
      </c>
      <c r="AS36">
        <v>-12.69300121000226</v>
      </c>
      <c r="AT36">
        <v>-10.59034893490692</v>
      </c>
      <c r="AU36">
        <v>-6.1173513504038164</v>
      </c>
      <c r="AV36">
        <v>-6.0692057800063308</v>
      </c>
      <c r="AW36">
        <v>-2.879509642901775</v>
      </c>
      <c r="AX36">
        <v>-2.261732903910068</v>
      </c>
      <c r="AY36">
        <v>-1.705210960870754</v>
      </c>
    </row>
    <row r="37" spans="1:51" x14ac:dyDescent="0.3">
      <c r="A37" s="1" t="s">
        <v>54</v>
      </c>
      <c r="B37">
        <v>11.13481653534647</v>
      </c>
      <c r="C37">
        <v>12.235764490019131</v>
      </c>
      <c r="D37">
        <v>13.362341871419281</v>
      </c>
      <c r="E37">
        <v>14.25523492231437</v>
      </c>
      <c r="F37">
        <v>1.0128578447806329</v>
      </c>
      <c r="G37">
        <v>2.580502424060509</v>
      </c>
      <c r="H37">
        <v>3.915546279848146</v>
      </c>
      <c r="I37">
        <v>5.2690873336344959</v>
      </c>
      <c r="J37">
        <v>6.515402397770182</v>
      </c>
      <c r="K37">
        <v>8.0015193806893912</v>
      </c>
      <c r="L37">
        <v>9.4404569954738822</v>
      </c>
      <c r="M37">
        <v>10.956421209483439</v>
      </c>
      <c r="N37">
        <v>12.54510462914183</v>
      </c>
      <c r="O37">
        <v>14.103706262418269</v>
      </c>
      <c r="P37">
        <v>15.69360159543921</v>
      </c>
      <c r="Q37">
        <v>18.593135499999999</v>
      </c>
      <c r="R37">
        <v>1.2721</v>
      </c>
      <c r="S37">
        <v>3.0034203000000002</v>
      </c>
      <c r="T37">
        <v>5.0730054265024549</v>
      </c>
      <c r="U37">
        <v>7.1084812140122891</v>
      </c>
      <c r="V37">
        <v>8.9573849700375163</v>
      </c>
      <c r="W37">
        <v>11.059281313887929</v>
      </c>
      <c r="X37">
        <v>12.9290460520858</v>
      </c>
      <c r="Y37">
        <v>15.248338231770161</v>
      </c>
      <c r="Z37">
        <v>17.653010905199238</v>
      </c>
      <c r="AA37">
        <v>19.775356959328739</v>
      </c>
      <c r="AB37">
        <v>21.590236816086581</v>
      </c>
      <c r="AC37">
        <v>24.310091990229331</v>
      </c>
      <c r="AD37">
        <v>2.764072029639344</v>
      </c>
      <c r="AE37">
        <v>5.3587462829983794</v>
      </c>
      <c r="AF37">
        <v>7.6733454909466046</v>
      </c>
      <c r="AG37">
        <v>10.27134262337862</v>
      </c>
      <c r="AH37">
        <v>12.72970432702815</v>
      </c>
      <c r="AI37">
        <v>14.947162605840379</v>
      </c>
      <c r="AJ37">
        <v>17.6495020059089</v>
      </c>
      <c r="AK37">
        <v>19.880326267127248</v>
      </c>
      <c r="AL37">
        <v>22.758753776306271</v>
      </c>
      <c r="AM37">
        <v>25.455616014324359</v>
      </c>
      <c r="AN37">
        <v>27.787961625356019</v>
      </c>
      <c r="AO37">
        <v>31.375081377394171</v>
      </c>
      <c r="AP37">
        <v>1.7493405342719801</v>
      </c>
      <c r="AQ37">
        <v>4.1320923268354468</v>
      </c>
      <c r="AR37">
        <v>6.4322552338289309</v>
      </c>
      <c r="AS37">
        <v>8.9676009799096921</v>
      </c>
      <c r="AT37">
        <v>11.381584220413931</v>
      </c>
      <c r="AU37">
        <v>14.03279215232495</v>
      </c>
      <c r="AV37">
        <v>16.578317410023949</v>
      </c>
      <c r="AW37">
        <v>19.307870355224988</v>
      </c>
      <c r="AX37">
        <v>22.244011553627679</v>
      </c>
      <c r="AY37">
        <v>25.021544059890928</v>
      </c>
    </row>
    <row r="38" spans="1:51" x14ac:dyDescent="0.3">
      <c r="A38" s="1" t="s">
        <v>55</v>
      </c>
      <c r="B38">
        <v>27.291319795702769</v>
      </c>
      <c r="C38">
        <v>29.32942472607122</v>
      </c>
      <c r="D38">
        <v>31.339824950666131</v>
      </c>
      <c r="E38">
        <v>32.728909082194598</v>
      </c>
      <c r="F38">
        <v>2.317636694097688</v>
      </c>
      <c r="G38">
        <v>5.8849901236225932</v>
      </c>
      <c r="H38">
        <v>8.8998624449340067</v>
      </c>
      <c r="I38">
        <v>11.7054307651852</v>
      </c>
      <c r="J38">
        <v>14.153918574088321</v>
      </c>
      <c r="K38">
        <v>17.006071410358881</v>
      </c>
      <c r="L38">
        <v>19.716847340550569</v>
      </c>
      <c r="M38">
        <v>22.493465309265041</v>
      </c>
      <c r="N38">
        <v>25.32392400617589</v>
      </c>
      <c r="O38">
        <v>27.667229530432628</v>
      </c>
      <c r="P38">
        <v>29.94169056957584</v>
      </c>
      <c r="Q38">
        <v>34.526652312686501</v>
      </c>
      <c r="R38">
        <v>2.301363174180477</v>
      </c>
      <c r="S38">
        <v>5.2970072476998444</v>
      </c>
      <c r="T38">
        <v>8.7277941258097034</v>
      </c>
      <c r="U38">
        <v>11.99892198302976</v>
      </c>
      <c r="V38">
        <v>14.83978379325748</v>
      </c>
      <c r="W38">
        <v>17.988840338327019</v>
      </c>
      <c r="X38">
        <v>20.599922280386028</v>
      </c>
      <c r="Y38">
        <v>23.808183766463461</v>
      </c>
      <c r="Z38">
        <v>27.021022705753399</v>
      </c>
      <c r="AA38">
        <v>29.500366831986959</v>
      </c>
      <c r="AB38">
        <v>31.40951102937937</v>
      </c>
      <c r="AC38">
        <v>34.511029014112019</v>
      </c>
      <c r="AD38">
        <v>3.8767109083887821</v>
      </c>
      <c r="AE38">
        <v>7.426477826143814</v>
      </c>
      <c r="AF38">
        <v>10.509243938847471</v>
      </c>
      <c r="AG38">
        <v>13.849142003455791</v>
      </c>
      <c r="AH38">
        <v>16.901585992615448</v>
      </c>
      <c r="AI38">
        <v>19.547120093054719</v>
      </c>
      <c r="AJ38">
        <v>22.880164749079619</v>
      </c>
      <c r="AK38">
        <v>25.549698712278222</v>
      </c>
      <c r="AL38">
        <v>28.99871051409804</v>
      </c>
      <c r="AM38">
        <v>32.13728370408095</v>
      </c>
      <c r="AN38">
        <v>34.762754558566911</v>
      </c>
      <c r="AO38">
        <v>38.896472410142501</v>
      </c>
      <c r="AP38">
        <v>2.1610561206191421</v>
      </c>
      <c r="AQ38">
        <v>5.0866684390931516</v>
      </c>
      <c r="AR38">
        <v>7.890486282645556</v>
      </c>
      <c r="AS38">
        <v>10.893667204836751</v>
      </c>
      <c r="AT38">
        <v>13.693009788232031</v>
      </c>
      <c r="AU38">
        <v>16.721642300707359</v>
      </c>
      <c r="AV38">
        <v>19.642696837065909</v>
      </c>
      <c r="AW38">
        <v>22.74756318771885</v>
      </c>
      <c r="AX38">
        <v>26.059574379220681</v>
      </c>
    </row>
    <row r="39" spans="1:51" x14ac:dyDescent="0.3">
      <c r="A39" s="1" t="s">
        <v>56</v>
      </c>
      <c r="B39">
        <v>15.92946430178595</v>
      </c>
      <c r="C39">
        <v>12.828993209940171</v>
      </c>
      <c r="D39">
        <v>13.371813307565469</v>
      </c>
      <c r="E39">
        <v>11.728151918840631</v>
      </c>
      <c r="F39">
        <v>66.305547887692313</v>
      </c>
      <c r="G39">
        <v>39.980069082978503</v>
      </c>
      <c r="H39">
        <v>40.325735209821993</v>
      </c>
      <c r="I39">
        <v>3.5094348572732561</v>
      </c>
      <c r="J39">
        <v>4.9682239167577631</v>
      </c>
      <c r="K39">
        <v>9.2520369548949848</v>
      </c>
      <c r="L39">
        <v>11.86544964967764</v>
      </c>
      <c r="M39">
        <v>14.25995090824955</v>
      </c>
      <c r="N39">
        <v>13.982308159639119</v>
      </c>
      <c r="O39">
        <v>14.610533987598149</v>
      </c>
      <c r="P39">
        <v>14.758302212336011</v>
      </c>
      <c r="Q39">
        <v>16.53833950569874</v>
      </c>
      <c r="R39">
        <v>-14.21601788317307</v>
      </c>
      <c r="S39">
        <v>13.47468772556322</v>
      </c>
      <c r="T39">
        <v>8.2531423327324251</v>
      </c>
      <c r="U39">
        <v>9.8663703349600578</v>
      </c>
      <c r="V39">
        <v>9.7199053057334481</v>
      </c>
      <c r="W39">
        <v>10.27767879506597</v>
      </c>
      <c r="X39">
        <v>16.658621933963971</v>
      </c>
      <c r="Y39">
        <v>17.050584911171921</v>
      </c>
      <c r="Z39">
        <v>18.236802809585949</v>
      </c>
      <c r="AA39">
        <v>20.84043797069203</v>
      </c>
      <c r="AB39">
        <v>20.493440872131789</v>
      </c>
      <c r="AC39">
        <v>23.52699747356041</v>
      </c>
      <c r="AD39">
        <v>83.56321002126046</v>
      </c>
      <c r="AE39">
        <v>35.985698573457427</v>
      </c>
      <c r="AF39">
        <v>37.629440111650482</v>
      </c>
      <c r="AG39">
        <v>38.726504616587277</v>
      </c>
      <c r="AH39">
        <v>41.295235219623699</v>
      </c>
      <c r="AI39">
        <v>42.921578608874981</v>
      </c>
      <c r="AJ39">
        <v>37.75354416640851</v>
      </c>
      <c r="AK39">
        <v>35.39528854950818</v>
      </c>
      <c r="AL39">
        <v>34.384208334869342</v>
      </c>
      <c r="AM39">
        <v>32.209487574673481</v>
      </c>
      <c r="AN39">
        <v>31.74188200290261</v>
      </c>
      <c r="AO39">
        <v>35.231170237768438</v>
      </c>
      <c r="AP39">
        <v>5.180548855028019</v>
      </c>
      <c r="AQ39">
        <v>22.09026791802258</v>
      </c>
      <c r="AR39">
        <v>14.1752286846001</v>
      </c>
      <c r="AS39">
        <v>9.7545085939289766</v>
      </c>
      <c r="AT39">
        <v>9.2348482426256151</v>
      </c>
      <c r="AU39">
        <v>8.2264630704328976</v>
      </c>
      <c r="AV39">
        <v>10.653317610205001</v>
      </c>
      <c r="AW39">
        <v>11.556706456546699</v>
      </c>
      <c r="AX39">
        <v>11.28382118830339</v>
      </c>
      <c r="AY39">
        <v>11.325919317211021</v>
      </c>
    </row>
    <row r="40" spans="1:51" x14ac:dyDescent="0.3">
      <c r="A40" s="1" t="s">
        <v>57</v>
      </c>
      <c r="B40">
        <v>10.944579291823739</v>
      </c>
      <c r="C40">
        <v>12.20282692309519</v>
      </c>
      <c r="D40">
        <v>13.561359300693869</v>
      </c>
      <c r="E40">
        <v>15.598129831866281</v>
      </c>
      <c r="F40">
        <v>1.30468681026695</v>
      </c>
      <c r="G40">
        <v>2.4361304317361401</v>
      </c>
      <c r="H40">
        <v>3.8226789701392199</v>
      </c>
      <c r="I40">
        <v>5.108598000660435</v>
      </c>
      <c r="J40">
        <v>6.4787473611738102</v>
      </c>
      <c r="K40">
        <v>8.1918967088365591</v>
      </c>
      <c r="L40">
        <v>9.496927303548901</v>
      </c>
      <c r="M40">
        <v>10.92761115279726</v>
      </c>
      <c r="N40">
        <v>12.474884095182579</v>
      </c>
      <c r="O40">
        <v>13.98572509814179</v>
      </c>
      <c r="P40">
        <v>15.56278569039101</v>
      </c>
      <c r="Q40">
        <v>18.177801500000001</v>
      </c>
      <c r="R40">
        <v>1.1192123</v>
      </c>
      <c r="S40">
        <v>2.7643914000000001</v>
      </c>
      <c r="T40">
        <v>4.1381701064682401</v>
      </c>
      <c r="U40">
        <v>5.612631198329959</v>
      </c>
      <c r="V40">
        <v>7.1084754696776091</v>
      </c>
      <c r="W40">
        <v>9.0338335397943617</v>
      </c>
      <c r="X40">
        <v>11.078984518390509</v>
      </c>
      <c r="Y40">
        <v>12.790832771167651</v>
      </c>
      <c r="Z40">
        <v>14.749904108345429</v>
      </c>
      <c r="AA40">
        <v>16.90041146197154</v>
      </c>
      <c r="AB40">
        <v>18.75213597390788</v>
      </c>
      <c r="AC40">
        <v>22.45449239965383</v>
      </c>
      <c r="AD40">
        <v>2.0544620248327798</v>
      </c>
      <c r="AE40">
        <v>3.7591769565945801</v>
      </c>
      <c r="AF40">
        <v>5.6953403483999301</v>
      </c>
      <c r="AG40">
        <v>7.786207078463228</v>
      </c>
      <c r="AH40">
        <v>10.04393713541023</v>
      </c>
      <c r="AI40">
        <v>12.91129750397211</v>
      </c>
      <c r="AJ40">
        <v>15.26169383173063</v>
      </c>
      <c r="AK40">
        <v>17.318184938407491</v>
      </c>
      <c r="AL40">
        <v>19.821541866152369</v>
      </c>
      <c r="AM40">
        <v>22.343947391883951</v>
      </c>
      <c r="AN40">
        <v>24.704416847769561</v>
      </c>
      <c r="AO40">
        <v>30.365472843002639</v>
      </c>
      <c r="AP40">
        <v>2.1608944337372402</v>
      </c>
      <c r="AQ40">
        <v>4.5895892178188902</v>
      </c>
      <c r="AR40">
        <v>6.5026678671519198</v>
      </c>
      <c r="AS40">
        <v>8.5457133170730302</v>
      </c>
      <c r="AT40">
        <v>10.971479487450081</v>
      </c>
      <c r="AU40">
        <v>13.973440625050101</v>
      </c>
      <c r="AV40">
        <v>16.88757054832196</v>
      </c>
      <c r="AW40">
        <v>19.319596735341129</v>
      </c>
      <c r="AX40">
        <v>22.058169207093702</v>
      </c>
      <c r="AY40">
        <v>24.8746048457688</v>
      </c>
    </row>
    <row r="41" spans="1:51" x14ac:dyDescent="0.3">
      <c r="A41" s="1" t="s">
        <v>58</v>
      </c>
      <c r="B41">
        <v>26.825050285688771</v>
      </c>
      <c r="C41">
        <v>29.250472578002029</v>
      </c>
      <c r="D41">
        <v>31.806597276626299</v>
      </c>
      <c r="E41">
        <v>35.812091200285643</v>
      </c>
      <c r="F41">
        <v>2.985404162451692</v>
      </c>
      <c r="G41">
        <v>5.5557411599189628</v>
      </c>
      <c r="H41">
        <v>8.6887791827352583</v>
      </c>
      <c r="I41">
        <v>11.348899044086769</v>
      </c>
      <c r="J41">
        <v>14.07428996918545</v>
      </c>
      <c r="K41">
        <v>17.410690868657952</v>
      </c>
      <c r="L41">
        <v>19.83478828812575</v>
      </c>
      <c r="M41">
        <v>22.4343184402064</v>
      </c>
      <c r="N41">
        <v>25.182174732795879</v>
      </c>
      <c r="O41">
        <v>27.435785972862011</v>
      </c>
      <c r="P41">
        <v>29.69210800392241</v>
      </c>
      <c r="Q41">
        <v>33.755394952052661</v>
      </c>
      <c r="R41">
        <v>2.0247731870999379</v>
      </c>
      <c r="S41">
        <v>4.8754419357421002</v>
      </c>
      <c r="T41">
        <v>7.1194673985861439</v>
      </c>
      <c r="U41">
        <v>9.4739680447530805</v>
      </c>
      <c r="V41">
        <v>11.77667806201795</v>
      </c>
      <c r="W41">
        <v>14.6942811723499</v>
      </c>
      <c r="X41">
        <v>17.652208763509321</v>
      </c>
      <c r="Y41">
        <v>19.971126854175921</v>
      </c>
      <c r="Z41">
        <v>22.577309670267201</v>
      </c>
      <c r="AA41">
        <v>25.211597381785062</v>
      </c>
      <c r="AB41">
        <v>27.28063738782285</v>
      </c>
      <c r="AC41">
        <v>31.87678759146895</v>
      </c>
      <c r="AD41">
        <v>2.881457233073248</v>
      </c>
      <c r="AE41">
        <v>5.2096969773086146</v>
      </c>
      <c r="AF41">
        <v>7.800211929296526</v>
      </c>
      <c r="AG41">
        <v>10.498363403097139</v>
      </c>
      <c r="AH41">
        <v>13.335617453276001</v>
      </c>
      <c r="AI41">
        <v>16.884721838022099</v>
      </c>
      <c r="AJ41">
        <v>19.784698123669621</v>
      </c>
      <c r="AK41">
        <v>22.256898678341681</v>
      </c>
      <c r="AL41">
        <v>25.256178794729969</v>
      </c>
      <c r="AM41">
        <v>28.208854816083029</v>
      </c>
      <c r="AN41">
        <v>30.905238425545569</v>
      </c>
      <c r="AO41">
        <v>37.644835481120893</v>
      </c>
      <c r="AP41">
        <v>2.6694711810260121</v>
      </c>
      <c r="AQ41">
        <v>5.6498540632950549</v>
      </c>
      <c r="AR41">
        <v>7.976861884539896</v>
      </c>
      <c r="AS41">
        <v>10.38116627988868</v>
      </c>
      <c r="AT41">
        <v>13.19961906037517</v>
      </c>
      <c r="AU41">
        <v>16.65091831375468</v>
      </c>
      <c r="AV41">
        <v>20.009113131992571</v>
      </c>
      <c r="AW41">
        <v>22.761378619858569</v>
      </c>
      <c r="AX41">
        <v>25.84185409793799</v>
      </c>
    </row>
    <row r="42" spans="1:51" x14ac:dyDescent="0.3">
      <c r="A42" s="1" t="s">
        <v>59</v>
      </c>
      <c r="B42">
        <v>24.43574786833031</v>
      </c>
      <c r="C42">
        <v>25.682791489360099</v>
      </c>
      <c r="D42">
        <v>28.805362883761759</v>
      </c>
      <c r="E42">
        <v>22.052796135247569</v>
      </c>
      <c r="F42">
        <v>-15.66973210814063</v>
      </c>
      <c r="G42">
        <v>-11.566219293625419</v>
      </c>
      <c r="H42">
        <v>-2.917131992214665</v>
      </c>
      <c r="I42">
        <v>12.123020020617551</v>
      </c>
      <c r="J42">
        <v>22.85736089180936</v>
      </c>
      <c r="K42">
        <v>29.114785779657542</v>
      </c>
      <c r="L42">
        <v>36.339685456304238</v>
      </c>
      <c r="M42">
        <v>37.841590700762467</v>
      </c>
      <c r="N42">
        <v>39.265868317804838</v>
      </c>
      <c r="O42">
        <v>33.033025124440279</v>
      </c>
      <c r="P42">
        <v>26.217222682790979</v>
      </c>
      <c r="Q42">
        <v>35.61407456313318</v>
      </c>
      <c r="R42">
        <v>99.711925667336544</v>
      </c>
      <c r="S42">
        <v>90.095032801902079</v>
      </c>
      <c r="T42">
        <v>93.816197255602134</v>
      </c>
      <c r="U42">
        <v>81.607605847257787</v>
      </c>
      <c r="V42">
        <v>54.412153283103152</v>
      </c>
      <c r="W42">
        <v>42.501882754984983</v>
      </c>
      <c r="X42">
        <v>34.55396145291877</v>
      </c>
      <c r="Y42">
        <v>28.979242791914771</v>
      </c>
      <c r="Z42">
        <v>26.644167453466849</v>
      </c>
      <c r="AA42">
        <v>24.630204587825791</v>
      </c>
      <c r="AB42">
        <v>23.927692206133511</v>
      </c>
      <c r="AC42">
        <v>21.084528044127971</v>
      </c>
      <c r="AD42">
        <v>22.940980382063781</v>
      </c>
      <c r="AE42">
        <v>-0.14351308770466659</v>
      </c>
      <c r="AF42">
        <v>-2.793582272863214</v>
      </c>
      <c r="AG42">
        <v>-2.8863281883826839</v>
      </c>
      <c r="AH42">
        <v>0.79590561630794476</v>
      </c>
      <c r="AI42">
        <v>4.2538586278409536</v>
      </c>
      <c r="AJ42">
        <v>6.5220549443389988</v>
      </c>
      <c r="AK42">
        <v>6.2110785979047183</v>
      </c>
      <c r="AL42">
        <v>4.3064258898753272</v>
      </c>
      <c r="AM42">
        <v>5.8779439072170421</v>
      </c>
      <c r="AN42">
        <v>5.6839014928537317</v>
      </c>
      <c r="AO42">
        <v>3.9443729567022952</v>
      </c>
      <c r="AP42">
        <v>-23.075884261939219</v>
      </c>
      <c r="AQ42">
        <v>-10.50578007796793</v>
      </c>
      <c r="AR42">
        <v>-17.651839540809672</v>
      </c>
      <c r="AS42">
        <v>-14.06678833077784</v>
      </c>
      <c r="AT42">
        <v>-14.65358793068564</v>
      </c>
      <c r="AU42">
        <v>-16.545440776305451</v>
      </c>
      <c r="AV42">
        <v>-16.342916169506001</v>
      </c>
      <c r="AW42">
        <v>-13.80658660288154</v>
      </c>
      <c r="AX42">
        <v>-9.1155408025039755</v>
      </c>
      <c r="AY42">
        <v>-7.3943414399334806</v>
      </c>
    </row>
    <row r="43" spans="1:51" x14ac:dyDescent="0.3">
      <c r="A43" s="1" t="s">
        <v>60</v>
      </c>
      <c r="B43">
        <v>6.404749412967</v>
      </c>
      <c r="C43">
        <v>7.5235289906380007</v>
      </c>
      <c r="D43">
        <v>8.8297970463229998</v>
      </c>
      <c r="E43">
        <v>9.247109734503999</v>
      </c>
      <c r="F43">
        <v>0.53962322662600004</v>
      </c>
      <c r="G43">
        <v>1.1801983673550001</v>
      </c>
      <c r="H43">
        <v>1.9420491750290001</v>
      </c>
      <c r="I43">
        <v>2.7993463579250002</v>
      </c>
      <c r="J43">
        <v>4.0837342096549998</v>
      </c>
      <c r="K43">
        <v>5.3082949572589992</v>
      </c>
      <c r="L43">
        <v>6.4647129582050002</v>
      </c>
      <c r="M43">
        <v>7.7560919063320002</v>
      </c>
      <c r="N43">
        <v>8.9196298835480015</v>
      </c>
      <c r="O43">
        <v>10.008778212359999</v>
      </c>
      <c r="P43">
        <v>11.144724600396</v>
      </c>
      <c r="Q43">
        <v>12.540382290285001</v>
      </c>
      <c r="R43">
        <v>1.0776919372430001</v>
      </c>
      <c r="S43">
        <v>2.243498473551</v>
      </c>
      <c r="T43">
        <v>3.764005859875001</v>
      </c>
      <c r="U43">
        <v>5.0838258999999999</v>
      </c>
      <c r="V43">
        <v>6.3057819274869997</v>
      </c>
      <c r="W43">
        <v>7.5644202562820002</v>
      </c>
      <c r="X43">
        <v>8.6985273818250004</v>
      </c>
      <c r="Y43">
        <v>10.003748611032</v>
      </c>
      <c r="Z43">
        <v>11.29619100595</v>
      </c>
      <c r="AA43">
        <v>12.473960762806</v>
      </c>
      <c r="AB43">
        <v>13.811400000000001</v>
      </c>
      <c r="AC43">
        <v>15.184462711121</v>
      </c>
      <c r="AD43">
        <v>1.324925033145</v>
      </c>
      <c r="AE43">
        <v>2.2402787596190001</v>
      </c>
      <c r="AF43">
        <v>3.658855259424</v>
      </c>
      <c r="AG43">
        <v>4.9370900000000004</v>
      </c>
      <c r="AH43">
        <v>6.3559700000000001</v>
      </c>
      <c r="AI43">
        <v>7.8862000000000014</v>
      </c>
      <c r="AJ43">
        <v>9.265850117015999</v>
      </c>
      <c r="AK43">
        <v>10.625089300000001</v>
      </c>
      <c r="AL43">
        <v>11.782653099999999</v>
      </c>
      <c r="AM43">
        <v>13.207173179452001</v>
      </c>
      <c r="AN43">
        <v>14.596426370784</v>
      </c>
      <c r="AO43">
        <v>15.783394551919001</v>
      </c>
      <c r="AP43">
        <v>1.019186865939</v>
      </c>
      <c r="AQ43">
        <v>2.0049199999999998</v>
      </c>
      <c r="AR43">
        <v>3.0129999999999999</v>
      </c>
      <c r="AS43">
        <v>4.2426000000000004</v>
      </c>
      <c r="AT43">
        <v>5.4245923472020001</v>
      </c>
      <c r="AU43">
        <v>6.5813934494990001</v>
      </c>
      <c r="AV43">
        <v>7.7515400000000012</v>
      </c>
      <c r="AW43">
        <v>9.158127144162</v>
      </c>
      <c r="AX43">
        <v>10.708600549052001</v>
      </c>
      <c r="AY43">
        <v>12.230589699999999</v>
      </c>
    </row>
    <row r="44" spans="1:51" x14ac:dyDescent="0.3">
      <c r="A44" s="1" t="s">
        <v>61</v>
      </c>
      <c r="B44">
        <v>44.726668537671038</v>
      </c>
      <c r="C44">
        <v>51.376393821096379</v>
      </c>
      <c r="D44">
        <v>59.005048117507272</v>
      </c>
      <c r="E44">
        <v>60.493322375765622</v>
      </c>
      <c r="F44">
        <v>3.5194271061017148</v>
      </c>
      <c r="G44">
        <v>7.7131494549940864</v>
      </c>
      <c r="H44">
        <v>13.015066627840049</v>
      </c>
      <c r="I44">
        <v>19.17812346895602</v>
      </c>
      <c r="J44">
        <v>27.686268186813511</v>
      </c>
      <c r="K44">
        <v>35.35895593967944</v>
      </c>
      <c r="L44">
        <v>42.775117650729783</v>
      </c>
      <c r="M44">
        <v>50.942803920134217</v>
      </c>
      <c r="N44">
        <v>60.012465230664773</v>
      </c>
      <c r="O44">
        <v>66.542701865895566</v>
      </c>
      <c r="P44">
        <v>72.712191477280356</v>
      </c>
      <c r="Q44">
        <v>80.214228428174309</v>
      </c>
      <c r="R44">
        <v>6.8071545556149706</v>
      </c>
      <c r="S44">
        <v>13.9352111898407</v>
      </c>
      <c r="T44">
        <v>22.782562748033921</v>
      </c>
      <c r="U44">
        <v>29.826230017671971</v>
      </c>
      <c r="V44">
        <v>36.015508938724871</v>
      </c>
      <c r="W44">
        <v>42.235992114489257</v>
      </c>
      <c r="X44">
        <v>47.878034935343983</v>
      </c>
      <c r="Y44">
        <v>54.243011204497783</v>
      </c>
      <c r="Z44">
        <v>59.817513330647202</v>
      </c>
      <c r="AA44">
        <v>64.160600173306875</v>
      </c>
      <c r="AB44">
        <v>68.974322623766099</v>
      </c>
      <c r="AC44">
        <v>73.521267199465925</v>
      </c>
      <c r="AD44">
        <v>6.3207994462506676</v>
      </c>
      <c r="AE44">
        <v>10.499804968975241</v>
      </c>
      <c r="AF44">
        <v>16.917379874800659</v>
      </c>
      <c r="AG44">
        <v>22.480274759402921</v>
      </c>
      <c r="AH44">
        <v>28.535887426189419</v>
      </c>
      <c r="AI44">
        <v>34.869313910780512</v>
      </c>
      <c r="AJ44">
        <v>40.6099754054868</v>
      </c>
      <c r="AK44">
        <v>46.167071616458969</v>
      </c>
      <c r="AL44">
        <v>50.758581862195292</v>
      </c>
      <c r="AM44">
        <v>56.768396252199707</v>
      </c>
      <c r="AN44">
        <v>62.408948573475683</v>
      </c>
      <c r="AO44">
        <v>66.928375581847092</v>
      </c>
      <c r="AP44">
        <v>4.3415318325214862</v>
      </c>
      <c r="AQ44">
        <v>8.5557716138773401</v>
      </c>
      <c r="AR44">
        <v>12.89043419201054</v>
      </c>
      <c r="AS44">
        <v>18.403391883998211</v>
      </c>
      <c r="AT44">
        <v>23.324469862632839</v>
      </c>
      <c r="AU44">
        <v>28.08340319978274</v>
      </c>
      <c r="AV44">
        <v>32.948781252409823</v>
      </c>
      <c r="AW44">
        <v>38.764930344325784</v>
      </c>
      <c r="AX44">
        <v>45.096447130156157</v>
      </c>
    </row>
    <row r="45" spans="1:51" x14ac:dyDescent="0.3">
      <c r="A45" s="1" t="s">
        <v>140</v>
      </c>
      <c r="B45">
        <v>12.396100000000001</v>
      </c>
      <c r="C45">
        <v>13.802379999999999</v>
      </c>
      <c r="D45">
        <v>15.498329999999999</v>
      </c>
      <c r="E45">
        <v>16.11759</v>
      </c>
      <c r="F45">
        <v>0.62327999999999995</v>
      </c>
      <c r="G45">
        <v>1.2964500000000001</v>
      </c>
      <c r="H45">
        <v>2.5219200000000002</v>
      </c>
      <c r="I45">
        <v>3.79115</v>
      </c>
      <c r="J45">
        <v>5.7234499999999997</v>
      </c>
      <c r="K45">
        <v>8.0803100000000008</v>
      </c>
      <c r="L45">
        <v>11.05195</v>
      </c>
      <c r="M45">
        <v>14.87054</v>
      </c>
      <c r="N45">
        <v>19.047270000000001</v>
      </c>
      <c r="O45">
        <v>23.146470000000001</v>
      </c>
      <c r="P45">
        <v>27.190059999999999</v>
      </c>
      <c r="Q45">
        <v>31.821570000000001</v>
      </c>
      <c r="R45">
        <v>3.63341</v>
      </c>
      <c r="S45">
        <v>8.0348100000000002</v>
      </c>
      <c r="T45">
        <v>14.15113</v>
      </c>
      <c r="U45">
        <v>19.6189</v>
      </c>
      <c r="V45">
        <v>23.894120000000001</v>
      </c>
      <c r="W45">
        <v>29.520019999999999</v>
      </c>
      <c r="X45">
        <v>35.419849999999997</v>
      </c>
      <c r="Y45">
        <v>42.640940000000001</v>
      </c>
      <c r="Z45">
        <v>48.928710000000002</v>
      </c>
      <c r="AA45">
        <v>54.397300000000001</v>
      </c>
      <c r="AB45">
        <v>62.350630000000002</v>
      </c>
      <c r="AC45">
        <v>69.61251</v>
      </c>
      <c r="AD45">
        <v>6.8210100000000002</v>
      </c>
      <c r="AE45">
        <v>10.944039999999999</v>
      </c>
      <c r="AF45">
        <v>18.133610000000001</v>
      </c>
      <c r="AG45">
        <v>25.025970000000001</v>
      </c>
      <c r="AH45">
        <v>32.541890000000002</v>
      </c>
      <c r="AI45">
        <v>40.620669999999997</v>
      </c>
      <c r="AJ45">
        <v>47.541809999999998</v>
      </c>
      <c r="AK45">
        <v>55.403010000000002</v>
      </c>
      <c r="AL45">
        <v>61.219000000000001</v>
      </c>
      <c r="AM45">
        <v>68.489260000000002</v>
      </c>
      <c r="AN45">
        <v>77.375309999999999</v>
      </c>
      <c r="AO45">
        <v>83.754999999999995</v>
      </c>
      <c r="AP45">
        <v>5.8342099999999997</v>
      </c>
      <c r="AQ45">
        <v>11.526450000000001</v>
      </c>
      <c r="AR45">
        <v>17.533190000000001</v>
      </c>
      <c r="AS45">
        <v>24.964659999999999</v>
      </c>
      <c r="AT45">
        <v>31.777280000000001</v>
      </c>
      <c r="AU45">
        <v>37.875070000000001</v>
      </c>
      <c r="AV45">
        <v>44.412649999999999</v>
      </c>
      <c r="AW45">
        <v>52.930349999999997</v>
      </c>
      <c r="AX45">
        <v>62.616790000000002</v>
      </c>
      <c r="AY45">
        <v>69.734320000000011</v>
      </c>
    </row>
    <row r="46" spans="1:51" x14ac:dyDescent="0.3">
      <c r="A46" s="1" t="s">
        <v>141</v>
      </c>
      <c r="B46">
        <v>1.5134743900000001</v>
      </c>
      <c r="C46">
        <v>1.97236923</v>
      </c>
      <c r="D46">
        <v>2.59247352</v>
      </c>
      <c r="E46">
        <v>2.77407322</v>
      </c>
      <c r="F46">
        <v>0.14360085</v>
      </c>
      <c r="G46">
        <v>0.32618589999999997</v>
      </c>
      <c r="H46">
        <v>0.67517257999999991</v>
      </c>
      <c r="I46">
        <v>1.0643026099999999</v>
      </c>
      <c r="J46">
        <v>1.70490433</v>
      </c>
      <c r="K46">
        <v>2.3497485</v>
      </c>
      <c r="L46">
        <v>3.09554901</v>
      </c>
      <c r="M46">
        <v>3.8660821599999999</v>
      </c>
      <c r="N46">
        <v>4.5067260500000001</v>
      </c>
      <c r="O46">
        <v>5.1134843999999999</v>
      </c>
      <c r="P46">
        <v>5.7447034400000003</v>
      </c>
      <c r="Q46">
        <v>6.5032481600000001</v>
      </c>
      <c r="R46">
        <v>0.57202581999999991</v>
      </c>
      <c r="S46">
        <v>1.28481662</v>
      </c>
      <c r="T46">
        <v>2.27231344</v>
      </c>
      <c r="U46">
        <v>3.1028451000000001</v>
      </c>
      <c r="V46">
        <v>3.68207957</v>
      </c>
      <c r="W46">
        <v>4.3937492699999998</v>
      </c>
      <c r="X46">
        <v>5.0378441</v>
      </c>
      <c r="Y46">
        <v>5.8234394699999994</v>
      </c>
      <c r="Z46">
        <v>6.5186938899999998</v>
      </c>
      <c r="AA46">
        <v>7.1590871600000003</v>
      </c>
      <c r="AB46">
        <v>8.0552796400000002</v>
      </c>
      <c r="AC46">
        <v>8.8984518999999995</v>
      </c>
      <c r="AD46">
        <v>0.81301771</v>
      </c>
      <c r="AE46">
        <v>1.3507539900000001</v>
      </c>
      <c r="AF46">
        <v>2.2336618700000002</v>
      </c>
      <c r="AG46">
        <v>3.01376708</v>
      </c>
      <c r="AH46">
        <v>3.8550830999999999</v>
      </c>
      <c r="AI46">
        <v>4.7253051399999997</v>
      </c>
      <c r="AJ46">
        <v>5.4214154199999998</v>
      </c>
      <c r="AK46">
        <v>6.1946309900000003</v>
      </c>
      <c r="AL46">
        <v>6.7366622999999999</v>
      </c>
      <c r="AM46">
        <v>7.4084307200000001</v>
      </c>
      <c r="AN46">
        <v>8.1815473700000005</v>
      </c>
      <c r="AO46">
        <v>8.6979767899999985</v>
      </c>
      <c r="AP46">
        <v>0.47282087</v>
      </c>
      <c r="AQ46">
        <v>0.90483174</v>
      </c>
      <c r="AR46">
        <v>1.34218492</v>
      </c>
      <c r="AS46">
        <v>1.83646537</v>
      </c>
      <c r="AT46">
        <v>2.28341686</v>
      </c>
      <c r="AU46">
        <v>2.65282288</v>
      </c>
      <c r="AV46">
        <v>3.0204925199999999</v>
      </c>
      <c r="AW46">
        <v>3.4901572000000001</v>
      </c>
      <c r="AX46">
        <v>4.0643692599999994</v>
      </c>
      <c r="AY46">
        <v>4.4872354100000003</v>
      </c>
    </row>
    <row r="47" spans="1:51" x14ac:dyDescent="0.3">
      <c r="A47" s="1" t="s">
        <v>142</v>
      </c>
      <c r="B47">
        <v>207.48803450375871</v>
      </c>
      <c r="C47">
        <v>326.31825809938312</v>
      </c>
      <c r="D47">
        <v>365.63830891240877</v>
      </c>
      <c r="E47">
        <v>293.25275328618051</v>
      </c>
      <c r="F47">
        <v>230.3954081632653</v>
      </c>
      <c r="G47">
        <v>271.23170967214821</v>
      </c>
      <c r="H47">
        <v>284.77782401853977</v>
      </c>
      <c r="I47">
        <v>306.58748217423181</v>
      </c>
      <c r="J47">
        <v>331.52291052114072</v>
      </c>
      <c r="K47">
        <v>273.60308630975101</v>
      </c>
      <c r="L47">
        <v>250.97269857721651</v>
      </c>
      <c r="M47">
        <v>201.78472944201931</v>
      </c>
      <c r="N47">
        <v>153.38408036909249</v>
      </c>
      <c r="O47">
        <v>148.0187231654958</v>
      </c>
      <c r="P47">
        <v>156.10362079241469</v>
      </c>
      <c r="Q47">
        <v>163.77913898490991</v>
      </c>
      <c r="R47">
        <v>157.43497706011709</v>
      </c>
      <c r="S47">
        <v>161.94638069705101</v>
      </c>
      <c r="T47">
        <v>161.4527722552123</v>
      </c>
      <c r="U47">
        <v>151.8958661392121</v>
      </c>
      <c r="V47">
        <v>135.4864708716745</v>
      </c>
      <c r="W47">
        <v>126.498817966903</v>
      </c>
      <c r="X47">
        <v>109.1717608812458</v>
      </c>
      <c r="Y47">
        <v>108.7917987450648</v>
      </c>
      <c r="Z47">
        <v>110.57249549522329</v>
      </c>
      <c r="AA47">
        <v>117.1039097829605</v>
      </c>
      <c r="AB47">
        <v>112.68314278421749</v>
      </c>
      <c r="AC47">
        <v>116.10747079268739</v>
      </c>
      <c r="AD47">
        <v>119.1931561454975</v>
      </c>
      <c r="AE47">
        <v>130.42259697358489</v>
      </c>
      <c r="AF47">
        <v>122.8039896683668</v>
      </c>
      <c r="AG47">
        <v>113.1840487148089</v>
      </c>
      <c r="AH47">
        <v>111.9378625637314</v>
      </c>
      <c r="AI47">
        <v>107.7170117270181</v>
      </c>
      <c r="AJ47">
        <v>100.5774019886898</v>
      </c>
      <c r="AK47">
        <v>98.358465628657186</v>
      </c>
      <c r="AL47">
        <v>93.196740365784635</v>
      </c>
      <c r="AM47">
        <v>92.39950428182766</v>
      </c>
      <c r="AN47">
        <v>87.003409839017351</v>
      </c>
      <c r="AO47">
        <v>80.948983414554434</v>
      </c>
      <c r="AP47">
        <v>81.042826706614946</v>
      </c>
      <c r="AQ47">
        <v>75.860586851162452</v>
      </c>
      <c r="AR47">
        <v>72.810406310244844</v>
      </c>
      <c r="AS47">
        <v>66.511800491692782</v>
      </c>
      <c r="AT47">
        <v>65.606402529423306</v>
      </c>
      <c r="AU47">
        <v>60.580311883485649</v>
      </c>
      <c r="AV47">
        <v>56.237259151736893</v>
      </c>
      <c r="AW47">
        <v>55.139847611444438</v>
      </c>
      <c r="AX47">
        <v>59.279989345930957</v>
      </c>
      <c r="AY47">
        <v>59.411923799407937</v>
      </c>
    </row>
    <row r="48" spans="1:51" x14ac:dyDescent="0.3">
      <c r="A48" s="1" t="s">
        <v>62</v>
      </c>
      <c r="B48">
        <v>30.509486602815709</v>
      </c>
      <c r="C48">
        <v>27.228996906691808</v>
      </c>
      <c r="D48">
        <v>26.630678489833642</v>
      </c>
      <c r="E48">
        <v>29.367602335557429</v>
      </c>
      <c r="F48">
        <v>21.294900377908071</v>
      </c>
      <c r="G48">
        <v>12.515151831679811</v>
      </c>
      <c r="H48">
        <v>10.95960948245399</v>
      </c>
      <c r="I48">
        <v>19.7887761660593</v>
      </c>
      <c r="J48">
        <v>20.589987126153311</v>
      </c>
      <c r="K48">
        <v>21.066236402189229</v>
      </c>
      <c r="L48">
        <v>24.0867173079879</v>
      </c>
      <c r="M48">
        <v>25.163263208718089</v>
      </c>
      <c r="N48">
        <v>23.9898524465892</v>
      </c>
      <c r="O48">
        <v>26.578732680666551</v>
      </c>
      <c r="P48">
        <v>27.203923797255339</v>
      </c>
      <c r="Q48">
        <v>27.096977262593501</v>
      </c>
      <c r="R48">
        <v>23.622955561976461</v>
      </c>
      <c r="S48">
        <v>15.465283281070359</v>
      </c>
      <c r="T48">
        <v>14.72473377604738</v>
      </c>
      <c r="U48">
        <v>13.238987114555719</v>
      </c>
      <c r="V48">
        <v>10.378053650993261</v>
      </c>
      <c r="W48">
        <v>8.24476842540526</v>
      </c>
      <c r="X48">
        <v>5.4826261378108097</v>
      </c>
      <c r="Y48">
        <v>6.1959442560050597</v>
      </c>
      <c r="Z48">
        <v>6.2777208507746591</v>
      </c>
      <c r="AA48">
        <v>5.7942182611170736</v>
      </c>
      <c r="AB48">
        <v>6.4087079587224931</v>
      </c>
      <c r="AC48">
        <v>6.2964985784747514</v>
      </c>
      <c r="AD48">
        <v>36.046168028598551</v>
      </c>
      <c r="AE48">
        <v>33.191766526943098</v>
      </c>
      <c r="AF48">
        <v>24.470804274079459</v>
      </c>
      <c r="AG48">
        <v>28.78738785579085</v>
      </c>
      <c r="AH48">
        <v>26.923088317915141</v>
      </c>
      <c r="AI48">
        <v>25.851527993147212</v>
      </c>
      <c r="AJ48">
        <v>27.615153913607269</v>
      </c>
      <c r="AK48">
        <v>26.147738408517899</v>
      </c>
      <c r="AL48">
        <v>27.427021319481788</v>
      </c>
      <c r="AM48">
        <v>26.723543318002129</v>
      </c>
      <c r="AN48">
        <v>26.16286552647162</v>
      </c>
      <c r="AO48">
        <v>25.506679552012919</v>
      </c>
      <c r="AP48">
        <v>3.9709911670727021</v>
      </c>
      <c r="AQ48">
        <v>7.2067690142174996</v>
      </c>
      <c r="AR48">
        <v>5.5387409080080383</v>
      </c>
      <c r="AS48">
        <v>3.8876662911313291</v>
      </c>
      <c r="AT48">
        <v>3.2973028493388341</v>
      </c>
      <c r="AU48">
        <v>2.7851487908553532</v>
      </c>
      <c r="AV48">
        <v>1.0867331881348621</v>
      </c>
      <c r="AW48">
        <v>-0.33273288978338422</v>
      </c>
      <c r="AX48">
        <v>-0.86484717021370927</v>
      </c>
      <c r="AY48">
        <v>-2.2345462630890749</v>
      </c>
    </row>
    <row r="49" spans="1:51" x14ac:dyDescent="0.3">
      <c r="A49" s="1" t="s">
        <v>63</v>
      </c>
      <c r="B49">
        <v>5.1265698201359999</v>
      </c>
      <c r="C49">
        <v>5.6451511513730006</v>
      </c>
      <c r="D49">
        <v>6.1879464490259997</v>
      </c>
      <c r="E49">
        <v>6.8486424949539986</v>
      </c>
      <c r="F49">
        <v>0.55652618001200005</v>
      </c>
      <c r="G49">
        <v>1.037698230096</v>
      </c>
      <c r="H49">
        <v>1.6906860164219999</v>
      </c>
      <c r="I49">
        <v>2.3493403356820002</v>
      </c>
      <c r="J49">
        <v>3.1372658856590001</v>
      </c>
      <c r="K49">
        <v>3.9481178908430001</v>
      </c>
      <c r="L49">
        <v>4.7626786025439998</v>
      </c>
      <c r="M49">
        <v>5.599732248684</v>
      </c>
      <c r="N49">
        <v>6.3564263555579998</v>
      </c>
      <c r="O49">
        <v>7.1455607853160004</v>
      </c>
      <c r="P49">
        <v>7.8713106856339996</v>
      </c>
      <c r="Q49">
        <v>8.7044175946080014</v>
      </c>
      <c r="R49">
        <v>0.68799411220699991</v>
      </c>
      <c r="S49">
        <v>1.198181200983</v>
      </c>
      <c r="T49">
        <v>1.9396350313290001</v>
      </c>
      <c r="U49">
        <v>2.6603691999999999</v>
      </c>
      <c r="V49">
        <v>3.4628530224470002</v>
      </c>
      <c r="W49">
        <v>4.2736310681049998</v>
      </c>
      <c r="X49">
        <v>5.0237984644669993</v>
      </c>
      <c r="Y49">
        <v>5.9466885372979998</v>
      </c>
      <c r="Z49">
        <v>6.755465058245</v>
      </c>
      <c r="AA49">
        <v>7.559590173198</v>
      </c>
      <c r="AB49">
        <v>8.3757599999999996</v>
      </c>
      <c r="AC49">
        <v>9.2524911247170003</v>
      </c>
      <c r="AD49">
        <v>0.93598962592000001</v>
      </c>
      <c r="AE49">
        <v>1.5958787077829999</v>
      </c>
      <c r="AF49">
        <v>2.4142793234769999</v>
      </c>
      <c r="AG49">
        <v>3.4262199999999998</v>
      </c>
      <c r="AH49">
        <v>4.3951599999999997</v>
      </c>
      <c r="AI49">
        <v>5.3784300000000007</v>
      </c>
      <c r="AJ49">
        <v>6.4111281427390008</v>
      </c>
      <c r="AK49">
        <v>7.5016130999999993</v>
      </c>
      <c r="AL49">
        <v>8.6082878999999988</v>
      </c>
      <c r="AM49">
        <v>9.5797805277960002</v>
      </c>
      <c r="AN49">
        <v>10.56709882562</v>
      </c>
      <c r="AO49">
        <v>11.612494386477</v>
      </c>
      <c r="AP49">
        <v>0.97315769128999996</v>
      </c>
      <c r="AQ49">
        <v>1.71089</v>
      </c>
      <c r="AR49">
        <v>2.548</v>
      </c>
      <c r="AS49">
        <v>3.5594199999999998</v>
      </c>
      <c r="AT49">
        <v>4.5400817359130006</v>
      </c>
      <c r="AU49">
        <v>5.5282272781120021</v>
      </c>
      <c r="AV49">
        <v>6.4807999999999986</v>
      </c>
      <c r="AW49">
        <v>7.476652765952001</v>
      </c>
      <c r="AX49">
        <v>8.5338393656929998</v>
      </c>
      <c r="AY49">
        <v>9.3657158999999996</v>
      </c>
    </row>
    <row r="50" spans="1:51" x14ac:dyDescent="0.3">
      <c r="A50" s="1" t="s">
        <v>64</v>
      </c>
      <c r="B50">
        <v>35.800680759847261</v>
      </c>
      <c r="C50">
        <v>38.549397376344849</v>
      </c>
      <c r="D50">
        <v>41.350902637720843</v>
      </c>
      <c r="E50">
        <v>44.802878972847218</v>
      </c>
      <c r="F50">
        <v>3.6296683065997288</v>
      </c>
      <c r="G50">
        <v>6.7818442723753867</v>
      </c>
      <c r="H50">
        <v>11.330501530766449</v>
      </c>
      <c r="I50">
        <v>16.095164108847701</v>
      </c>
      <c r="J50">
        <v>21.269548953097541</v>
      </c>
      <c r="K50">
        <v>26.29871317833901</v>
      </c>
      <c r="L50">
        <v>31.51325339168643</v>
      </c>
      <c r="M50">
        <v>36.779613418076288</v>
      </c>
      <c r="N50">
        <v>42.766888383766513</v>
      </c>
      <c r="O50">
        <v>47.506789631399087</v>
      </c>
      <c r="P50">
        <v>51.355261818730398</v>
      </c>
      <c r="Q50">
        <v>55.677580244823417</v>
      </c>
      <c r="R50">
        <v>4.3456595463886822</v>
      </c>
      <c r="S50">
        <v>7.4423532158536627</v>
      </c>
      <c r="T50">
        <v>11.7401137125236</v>
      </c>
      <c r="U50">
        <v>15.60808439390695</v>
      </c>
      <c r="V50">
        <v>19.778104510685601</v>
      </c>
      <c r="W50">
        <v>23.861848228596092</v>
      </c>
      <c r="X50">
        <v>27.65176079027459</v>
      </c>
      <c r="Y50">
        <v>32.244542071218397</v>
      </c>
      <c r="Z50">
        <v>35.772688418905467</v>
      </c>
      <c r="AA50">
        <v>38.883226570893129</v>
      </c>
      <c r="AB50">
        <v>41.828661284101187</v>
      </c>
      <c r="AC50">
        <v>44.79940352073119</v>
      </c>
      <c r="AD50">
        <v>4.4653112902305896</v>
      </c>
      <c r="AE50">
        <v>7.4796116839992948</v>
      </c>
      <c r="AF50">
        <v>11.16285765443669</v>
      </c>
      <c r="AG50">
        <v>15.600762187070011</v>
      </c>
      <c r="AH50">
        <v>19.73259643769412</v>
      </c>
      <c r="AI50">
        <v>23.781056024087551</v>
      </c>
      <c r="AJ50">
        <v>28.09842085832279</v>
      </c>
      <c r="AK50">
        <v>32.595256326614283</v>
      </c>
      <c r="AL50">
        <v>37.083709615917918</v>
      </c>
      <c r="AM50">
        <v>41.176773380781484</v>
      </c>
      <c r="AN50">
        <v>45.181026535300632</v>
      </c>
      <c r="AO50">
        <v>49.241966497360877</v>
      </c>
      <c r="AP50">
        <v>4.1454567714685657</v>
      </c>
      <c r="AQ50">
        <v>7.3010315107169372</v>
      </c>
      <c r="AR50">
        <v>10.901037610767631</v>
      </c>
      <c r="AS50">
        <v>15.43991918628693</v>
      </c>
      <c r="AT50">
        <v>19.521282493755152</v>
      </c>
      <c r="AU50">
        <v>23.58944755735202</v>
      </c>
      <c r="AV50">
        <v>27.547359820192831</v>
      </c>
      <c r="AW50">
        <v>31.647510360849068</v>
      </c>
      <c r="AX50">
        <v>35.938013936497903</v>
      </c>
    </row>
    <row r="51" spans="1:51" x14ac:dyDescent="0.3">
      <c r="A51" s="1" t="s">
        <v>103</v>
      </c>
      <c r="B51">
        <v>4.1808999999999994</v>
      </c>
      <c r="C51">
        <v>4.2012</v>
      </c>
      <c r="D51">
        <v>4.1651999999999996</v>
      </c>
      <c r="E51">
        <v>4.3661000000000003</v>
      </c>
      <c r="F51">
        <v>3.9451000000000001</v>
      </c>
      <c r="G51">
        <v>3.6848999999999998</v>
      </c>
      <c r="H51">
        <v>3.3186</v>
      </c>
      <c r="I51">
        <v>3.3148</v>
      </c>
      <c r="J51">
        <v>3.1263000000000001</v>
      </c>
      <c r="K51">
        <v>3.0972</v>
      </c>
      <c r="L51">
        <v>2.8786</v>
      </c>
      <c r="M51">
        <v>2.6956000000000002</v>
      </c>
      <c r="N51">
        <v>2.7946</v>
      </c>
      <c r="O51">
        <v>2.786</v>
      </c>
      <c r="P51">
        <v>2.9352</v>
      </c>
      <c r="Q51">
        <v>3.3996</v>
      </c>
      <c r="R51">
        <v>3.55959</v>
      </c>
      <c r="S51">
        <v>3.39473</v>
      </c>
      <c r="T51">
        <v>3.4384600000000001</v>
      </c>
      <c r="U51">
        <v>3.6912600000000002</v>
      </c>
      <c r="V51">
        <v>3.8968699999999998</v>
      </c>
      <c r="W51">
        <v>3.8178299999999998</v>
      </c>
      <c r="X51">
        <v>3.82742</v>
      </c>
      <c r="Y51">
        <v>3.9333300000000002</v>
      </c>
      <c r="Z51">
        <v>4.1244500000000004</v>
      </c>
      <c r="AA51">
        <v>3.97736</v>
      </c>
      <c r="AB51">
        <v>4.2994700000000003</v>
      </c>
      <c r="AC51">
        <v>4.9214700000000002</v>
      </c>
      <c r="AD51">
        <v>4.8490900000000003</v>
      </c>
      <c r="AE51">
        <v>4.97051</v>
      </c>
      <c r="AF51">
        <v>5.2498199999999997</v>
      </c>
      <c r="AG51">
        <v>4.9853800000000001</v>
      </c>
      <c r="AH51">
        <v>5.1833800000000014</v>
      </c>
      <c r="AI51">
        <v>4.8388</v>
      </c>
      <c r="AJ51">
        <v>4.7370000000000001</v>
      </c>
      <c r="AK51">
        <v>4.7042600000000014</v>
      </c>
      <c r="AL51">
        <v>4.6627299999999998</v>
      </c>
      <c r="AM51">
        <v>4.7012499999999999</v>
      </c>
      <c r="AN51">
        <v>4.9649599999999996</v>
      </c>
      <c r="AO51">
        <v>5.5098199999999986</v>
      </c>
      <c r="AP51">
        <v>4.8842800000000004</v>
      </c>
      <c r="AQ51">
        <v>4.7633999999999999</v>
      </c>
      <c r="AR51">
        <v>4.9959700000000007</v>
      </c>
      <c r="AS51">
        <v>5.1353900000000001</v>
      </c>
      <c r="AT51">
        <v>5.1937300000000004</v>
      </c>
      <c r="AU51">
        <v>5.2060700000000004</v>
      </c>
      <c r="AV51">
        <v>5.3797499999999996</v>
      </c>
      <c r="AW51">
        <v>5.6834300000000004</v>
      </c>
      <c r="AX51">
        <v>5.8745200000000004</v>
      </c>
      <c r="AY51">
        <v>5.9110299999999993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>
      <selection activeCell="S4" sqref="S4"/>
    </sheetView>
  </sheetViews>
  <sheetFormatPr defaultRowHeight="14.4" x14ac:dyDescent="0.3"/>
  <sheetData>
    <row r="1" spans="1:19" x14ac:dyDescent="0.3"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156</v>
      </c>
      <c r="R1" s="1" t="s">
        <v>159</v>
      </c>
      <c r="S1" s="1" t="s">
        <v>167</v>
      </c>
    </row>
    <row r="2" spans="1:19" x14ac:dyDescent="0.3">
      <c r="A2" s="1" t="s">
        <v>75</v>
      </c>
      <c r="B2">
        <v>0.61412413265258925</v>
      </c>
      <c r="C2">
        <v>-0.62749692266767021</v>
      </c>
      <c r="D2">
        <v>-3.3634437586760169</v>
      </c>
      <c r="E2">
        <v>-3.8095553121449481</v>
      </c>
      <c r="F2">
        <v>6.4480185716104774</v>
      </c>
      <c r="G2">
        <v>7.1405803200969036</v>
      </c>
      <c r="H2">
        <v>8.0921564072343006</v>
      </c>
      <c r="I2">
        <v>7.9735216062331506</v>
      </c>
      <c r="J2">
        <v>5.757195854493359</v>
      </c>
      <c r="K2">
        <v>8.1776861653939843</v>
      </c>
      <c r="L2">
        <v>7.9261416369993638</v>
      </c>
      <c r="M2">
        <v>8.0708416482277539</v>
      </c>
      <c r="N2">
        <v>4.1146058042212843</v>
      </c>
      <c r="O2">
        <v>4.3790901560677451</v>
      </c>
      <c r="P2">
        <v>4.8385235341953949</v>
      </c>
      <c r="Q2">
        <v>2.642053784177345</v>
      </c>
      <c r="R2">
        <v>7.7860304531879132</v>
      </c>
      <c r="S2">
        <v>6.4908635299924677</v>
      </c>
    </row>
    <row r="3" spans="1:19" x14ac:dyDescent="0.3">
      <c r="A3" s="1" t="s">
        <v>76</v>
      </c>
      <c r="B3">
        <v>6.293949269828147</v>
      </c>
      <c r="C3">
        <v>-3.8012200013324928E-3</v>
      </c>
      <c r="D3">
        <v>-2.0687363330936388</v>
      </c>
      <c r="E3">
        <v>-3.546081672060911</v>
      </c>
      <c r="F3">
        <v>2.019139144720457</v>
      </c>
      <c r="G3">
        <v>6.7905403454647839</v>
      </c>
      <c r="H3">
        <v>7.6352235638326196</v>
      </c>
      <c r="I3">
        <v>8.0437200326151324</v>
      </c>
      <c r="J3">
        <v>6.659458699959953</v>
      </c>
      <c r="K3">
        <v>6.9582269242925312</v>
      </c>
      <c r="L3">
        <v>8.0463745329504839</v>
      </c>
      <c r="M3">
        <v>7.9851815658745693</v>
      </c>
      <c r="N3">
        <v>5.7450259976725393</v>
      </c>
      <c r="O3">
        <v>4.2473374163307067</v>
      </c>
      <c r="P3">
        <v>4.6186573366105446</v>
      </c>
      <c r="Q3">
        <v>3.9416176810496211</v>
      </c>
      <c r="R3">
        <v>5.6194992525172003</v>
      </c>
      <c r="S3">
        <v>7.1352287706690687</v>
      </c>
    </row>
    <row r="4" spans="1:19" x14ac:dyDescent="0.3">
      <c r="A4" s="1" t="s">
        <v>77</v>
      </c>
      <c r="B4">
        <v>4.2109567758787634</v>
      </c>
      <c r="C4">
        <v>3.7126292635614582</v>
      </c>
      <c r="D4">
        <v>-1.2015145888340899</v>
      </c>
      <c r="E4">
        <v>-2.534378771525776</v>
      </c>
      <c r="F4">
        <v>-4.6731821055945387E-2</v>
      </c>
      <c r="G4">
        <v>3.8492263050780631</v>
      </c>
      <c r="H4">
        <v>7.2444128591153216</v>
      </c>
      <c r="I4">
        <v>7.7245292072750411</v>
      </c>
      <c r="J4">
        <v>7.1910911434392029</v>
      </c>
      <c r="K4">
        <v>7.2191739734628309</v>
      </c>
      <c r="L4">
        <v>7.2984059869835312</v>
      </c>
      <c r="M4">
        <v>8.0528484159895513</v>
      </c>
      <c r="N4">
        <v>6.5611780770860948</v>
      </c>
      <c r="O4">
        <v>5.2369533136486019</v>
      </c>
      <c r="P4">
        <v>4.456328663375853</v>
      </c>
      <c r="Q4">
        <v>4.0955702893584638</v>
      </c>
      <c r="R4">
        <v>5.3235225216091502</v>
      </c>
      <c r="S4">
        <v>5.9409693169900804</v>
      </c>
    </row>
    <row r="5" spans="1:19" x14ac:dyDescent="0.3">
      <c r="A5" s="1" t="s">
        <v>78</v>
      </c>
      <c r="B5">
        <v>2.3631234032658668</v>
      </c>
      <c r="C5">
        <v>2.9320127565641201</v>
      </c>
      <c r="D5">
        <v>1.636769475889529</v>
      </c>
      <c r="E5">
        <v>-1.718309926068049</v>
      </c>
      <c r="F5">
        <v>-0.19563217465451821</v>
      </c>
      <c r="G5">
        <v>1.787385940411709</v>
      </c>
      <c r="H5">
        <v>5.0327097296992314</v>
      </c>
      <c r="I5">
        <v>7.3858149538196054</v>
      </c>
      <c r="J5">
        <v>7.1781968857144003</v>
      </c>
      <c r="K5">
        <v>7.4560995575541194</v>
      </c>
      <c r="L5">
        <v>7.4221129488150934</v>
      </c>
      <c r="M5">
        <v>7.4490306884940303</v>
      </c>
      <c r="N5">
        <v>6.9736907818318201</v>
      </c>
      <c r="O5">
        <v>5.9711134179780947</v>
      </c>
      <c r="P5">
        <v>5.1220452079246659</v>
      </c>
      <c r="Q5">
        <v>4.1004983013093534</v>
      </c>
      <c r="R5">
        <v>5.079802607404714</v>
      </c>
      <c r="S5">
        <v>5.6344442768746621</v>
      </c>
    </row>
    <row r="6" spans="1:19" x14ac:dyDescent="0.3">
      <c r="A6" s="1" t="s">
        <v>109</v>
      </c>
      <c r="B6">
        <v>1542867</v>
      </c>
      <c r="C6">
        <v>1636403</v>
      </c>
      <c r="D6">
        <v>1642915</v>
      </c>
      <c r="E6">
        <v>1785809</v>
      </c>
      <c r="F6">
        <v>1787503</v>
      </c>
      <c r="G6">
        <v>1814676</v>
      </c>
      <c r="H6">
        <v>1846967</v>
      </c>
      <c r="I6">
        <v>1923492</v>
      </c>
      <c r="J6">
        <v>2023582</v>
      </c>
      <c r="K6">
        <v>2240461</v>
      </c>
      <c r="L6">
        <v>2308110</v>
      </c>
      <c r="M6">
        <v>2423344</v>
      </c>
      <c r="N6">
        <v>2509331</v>
      </c>
      <c r="O6">
        <v>2617237</v>
      </c>
      <c r="P6">
        <v>2641671</v>
      </c>
      <c r="Q6">
        <v>2817611</v>
      </c>
      <c r="R6">
        <v>2951287</v>
      </c>
      <c r="S6">
        <v>2971516</v>
      </c>
    </row>
    <row r="7" spans="1:19" x14ac:dyDescent="0.3">
      <c r="A7" s="1" t="s">
        <v>110</v>
      </c>
      <c r="B7">
        <v>104.50776865146941</v>
      </c>
      <c r="C7">
        <v>109.47714123622509</v>
      </c>
      <c r="D7">
        <v>107.6180207609374</v>
      </c>
      <c r="E7">
        <v>102.85200052986541</v>
      </c>
      <c r="F7">
        <v>98.690060726722024</v>
      </c>
      <c r="G7">
        <v>98.489182979984406</v>
      </c>
      <c r="H7">
        <v>98.39601507664851</v>
      </c>
      <c r="I7">
        <v>98.897596986631413</v>
      </c>
      <c r="J7">
        <v>92.885195154283693</v>
      </c>
      <c r="K7">
        <v>97.321346737169577</v>
      </c>
      <c r="L7">
        <v>99.940982206763181</v>
      </c>
      <c r="M7">
        <v>98.065554173831018</v>
      </c>
      <c r="N7">
        <v>95.895715605246096</v>
      </c>
      <c r="O7">
        <v>97.044687683077854</v>
      </c>
      <c r="P7">
        <v>97.0751816344102</v>
      </c>
      <c r="Q7">
        <v>98.651356906023182</v>
      </c>
      <c r="R7">
        <v>98.841910521101752</v>
      </c>
      <c r="S7">
        <v>96.048225872922245</v>
      </c>
    </row>
    <row r="8" spans="1:19" x14ac:dyDescent="0.3">
      <c r="A8" s="1" t="s">
        <v>111</v>
      </c>
      <c r="B8">
        <v>3.910762392241379</v>
      </c>
      <c r="C8">
        <v>8.1784875665041312</v>
      </c>
      <c r="D8">
        <v>15.324814438880299</v>
      </c>
      <c r="E8">
        <v>23.15372069527918</v>
      </c>
      <c r="F8">
        <v>15.855935735225399</v>
      </c>
      <c r="G8">
        <v>10.89419904510075</v>
      </c>
      <c r="H8">
        <v>12.42011911754412</v>
      </c>
      <c r="I8">
        <v>7.70983907013572</v>
      </c>
      <c r="J8">
        <v>13.20719461729575</v>
      </c>
      <c r="K8">
        <v>23.463417160969779</v>
      </c>
      <c r="L8">
        <v>24.96758198711726</v>
      </c>
      <c r="M8">
        <v>25.98669503174435</v>
      </c>
      <c r="N8">
        <v>24.004413955055931</v>
      </c>
      <c r="O8">
        <v>16.816896165565929</v>
      </c>
      <c r="P8">
        <v>14.451694243341951</v>
      </c>
      <c r="Q8">
        <v>16.269543242725749</v>
      </c>
      <c r="R8">
        <v>17.612503093453991</v>
      </c>
      <c r="S8">
        <v>13.5363744284526</v>
      </c>
    </row>
    <row r="9" spans="1:19" x14ac:dyDescent="0.3">
      <c r="A9" s="1" t="s">
        <v>112</v>
      </c>
      <c r="B9">
        <v>-4.2620165495058497</v>
      </c>
      <c r="C9">
        <v>-2.4253573018569119</v>
      </c>
      <c r="D9">
        <v>4.7865202627801962</v>
      </c>
      <c r="E9">
        <v>18.957296941403449</v>
      </c>
      <c r="F9">
        <v>22.685559615204859</v>
      </c>
      <c r="G9">
        <v>23.266124500248871</v>
      </c>
      <c r="H9">
        <v>22.956511030599032</v>
      </c>
      <c r="I9">
        <v>12.01659860967926</v>
      </c>
      <c r="J9">
        <v>20.282084706020061</v>
      </c>
      <c r="K9">
        <v>24.94495289856842</v>
      </c>
      <c r="L9">
        <v>23.03573378794135</v>
      </c>
      <c r="M9">
        <v>27.055636363823329</v>
      </c>
      <c r="N9">
        <v>20.111457717489891</v>
      </c>
      <c r="O9">
        <v>17.149922658480609</v>
      </c>
      <c r="P9">
        <v>17.830474744671189</v>
      </c>
      <c r="Q9">
        <v>15.57912176005717</v>
      </c>
      <c r="R9">
        <v>14.10681044922879</v>
      </c>
      <c r="S9">
        <v>14.7142687638583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table (2)</vt:lpstr>
      <vt:lpstr>table</vt:lpstr>
      <vt:lpstr>m</vt:lpstr>
      <vt:lpstr>q</vt:lpstr>
      <vt:lpstr>table!Print_Area</vt:lpstr>
      <vt:lpstr>'table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baldan</cp:lastModifiedBy>
  <cp:lastPrinted>2025-11-20T13:13:08Z</cp:lastPrinted>
  <dcterms:created xsi:type="dcterms:W3CDTF">2023-12-01T23:04:57Z</dcterms:created>
  <dcterms:modified xsi:type="dcterms:W3CDTF">2025-11-20T13:13:12Z</dcterms:modified>
</cp:coreProperties>
</file>